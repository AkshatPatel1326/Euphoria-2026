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aar Patel\Downloads\Euphoria 2026\"/>
    </mc:Choice>
  </mc:AlternateContent>
  <xr:revisionPtr revIDLastSave="0" documentId="8_{4EC92743-84C7-4CB7-88B6-51BB204FF9FF}" xr6:coauthVersionLast="47" xr6:coauthVersionMax="47" xr10:uidLastSave="{00000000-0000-0000-0000-000000000000}"/>
  <bookViews>
    <workbookView xWindow="-108" yWindow="-108" windowWidth="23256" windowHeight="13176" xr2:uid="{BD470C48-7C57-4FE1-8DE1-A905D3A08488}"/>
  </bookViews>
  <sheets>
    <sheet name="OCT 2026 " sheetId="2" r:id="rId1"/>
    <sheet name="Sheet1" sheetId="6" r:id="rId2"/>
  </sheets>
  <definedNames>
    <definedName name="_xlnm._FilterDatabase" localSheetId="0" hidden="1">'OCT 2026 '!$A$1:$Q$44</definedName>
    <definedName name="_xlnm.Print_Area" localSheetId="0">'OCT 2026 '!$A$1:$Q$30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6" l="1"/>
  <c r="I33" i="6" s="1"/>
  <c r="E11" i="6"/>
  <c r="I11" i="6" s="1"/>
  <c r="E10" i="6"/>
  <c r="I10" i="6" s="1"/>
  <c r="E9" i="6"/>
  <c r="I9" i="6" s="1"/>
  <c r="E8" i="6"/>
  <c r="I8" i="6" s="1"/>
  <c r="E7" i="6"/>
  <c r="I7" i="6" s="1"/>
  <c r="E43" i="6"/>
  <c r="I43" i="6" s="1"/>
  <c r="E38" i="6"/>
  <c r="I38" i="6" s="1"/>
  <c r="E41" i="6"/>
  <c r="I41" i="6" s="1"/>
  <c r="E40" i="6"/>
  <c r="I40" i="6" s="1"/>
  <c r="E39" i="6"/>
  <c r="I39" i="6" s="1"/>
  <c r="E42" i="6"/>
  <c r="I42" i="6" s="1"/>
  <c r="E6" i="6"/>
  <c r="I6" i="6" s="1"/>
  <c r="E31" i="6"/>
  <c r="I31" i="6" s="1"/>
  <c r="E36" i="6"/>
  <c r="I36" i="6" s="1"/>
  <c r="E35" i="6"/>
  <c r="I35" i="6" s="1"/>
  <c r="E22" i="6"/>
  <c r="I22" i="6" s="1"/>
  <c r="E30" i="6"/>
  <c r="I30" i="6" s="1"/>
  <c r="E45" i="6"/>
  <c r="I45" i="6" s="1"/>
  <c r="E29" i="6"/>
  <c r="I29" i="6" s="1"/>
  <c r="E21" i="6"/>
  <c r="I21" i="6" s="1"/>
  <c r="E28" i="6"/>
  <c r="I28" i="6" s="1"/>
  <c r="E20" i="6"/>
  <c r="I20" i="6" s="1"/>
  <c r="E19" i="6"/>
  <c r="I19" i="6" s="1"/>
  <c r="E32" i="6"/>
  <c r="I32" i="6" s="1"/>
  <c r="E34" i="6"/>
  <c r="I34" i="6" s="1"/>
  <c r="E18" i="6"/>
  <c r="I18" i="6" s="1"/>
  <c r="E27" i="6"/>
  <c r="I27" i="6" s="1"/>
  <c r="E17" i="6"/>
  <c r="I17" i="6" s="1"/>
  <c r="E15" i="6"/>
  <c r="I15" i="6" s="1"/>
  <c r="E44" i="6"/>
  <c r="I44" i="6" s="1"/>
  <c r="E26" i="6"/>
  <c r="I26" i="6" s="1"/>
  <c r="E25" i="6"/>
  <c r="I25" i="6" s="1"/>
  <c r="E16" i="6"/>
  <c r="I16" i="6" s="1"/>
  <c r="E2" i="6"/>
  <c r="I2" i="6" s="1"/>
  <c r="E24" i="6"/>
  <c r="I24" i="6" s="1"/>
  <c r="E23" i="6"/>
  <c r="I23" i="6" s="1"/>
  <c r="E3" i="6"/>
  <c r="I3" i="6" s="1"/>
  <c r="E14" i="6"/>
  <c r="I14" i="6" s="1"/>
  <c r="E13" i="6"/>
  <c r="I13" i="6" s="1"/>
  <c r="E5" i="6"/>
  <c r="E4" i="6"/>
  <c r="I4" i="6" s="1"/>
  <c r="I44" i="2"/>
  <c r="G6" i="2"/>
  <c r="K6" i="2" s="1"/>
  <c r="G3" i="2"/>
  <c r="K3" i="2" s="1"/>
  <c r="G2" i="2"/>
  <c r="K2" i="2" s="1"/>
  <c r="G31" i="2"/>
  <c r="K31" i="2" s="1"/>
  <c r="G14" i="2"/>
  <c r="K14" i="2" s="1"/>
  <c r="G5" i="2"/>
  <c r="K5" i="2" s="1"/>
  <c r="G7" i="2"/>
  <c r="K7" i="2" s="1"/>
  <c r="G8" i="2"/>
  <c r="K8" i="2" s="1"/>
  <c r="G11" i="2"/>
  <c r="K11" i="2" s="1"/>
  <c r="G12" i="2"/>
  <c r="K12" i="2" s="1"/>
  <c r="G9" i="2"/>
  <c r="K9" i="2" s="1"/>
  <c r="G10" i="2"/>
  <c r="K10" i="2" s="1"/>
  <c r="G13" i="2"/>
  <c r="K13" i="2" s="1"/>
  <c r="G15" i="2"/>
  <c r="K15" i="2" s="1"/>
  <c r="G16" i="2"/>
  <c r="K16" i="2" s="1"/>
  <c r="G17" i="2"/>
  <c r="K17" i="2" s="1"/>
  <c r="G18" i="2"/>
  <c r="K18" i="2" s="1"/>
  <c r="G19" i="2"/>
  <c r="G20" i="2"/>
  <c r="G21" i="2"/>
  <c r="G22" i="2"/>
  <c r="G23" i="2"/>
  <c r="G24" i="2"/>
  <c r="G25" i="2"/>
  <c r="G26" i="2"/>
  <c r="G27" i="2"/>
  <c r="G28" i="2"/>
  <c r="G29" i="2"/>
  <c r="G30" i="2"/>
  <c r="G32" i="2"/>
  <c r="G33" i="2"/>
  <c r="G38" i="2"/>
  <c r="G39" i="2"/>
  <c r="G40" i="2"/>
  <c r="G37" i="2"/>
  <c r="G41" i="2"/>
  <c r="G34" i="2"/>
  <c r="G35" i="2"/>
  <c r="G36" i="2"/>
  <c r="G42" i="2"/>
  <c r="G43" i="2"/>
  <c r="I5" i="6" l="1"/>
  <c r="K26" i="2"/>
  <c r="K27" i="2"/>
  <c r="K28" i="2"/>
  <c r="K29" i="2"/>
  <c r="K30" i="2"/>
  <c r="K25" i="2"/>
  <c r="K43" i="2"/>
  <c r="K22" i="2"/>
  <c r="K21" i="2"/>
  <c r="K42" i="2"/>
  <c r="K36" i="2"/>
  <c r="K35" i="2"/>
  <c r="K34" i="2"/>
  <c r="K41" i="2"/>
  <c r="K37" i="2"/>
  <c r="K40" i="2"/>
  <c r="K39" i="2"/>
  <c r="K38" i="2"/>
  <c r="K33" i="2"/>
  <c r="K32" i="2"/>
  <c r="K24" i="2"/>
  <c r="K23" i="2"/>
  <c r="K20" i="2"/>
  <c r="K19" i="2"/>
  <c r="G4" i="2"/>
  <c r="K4" i="2" l="1"/>
  <c r="K44" i="2" s="1"/>
  <c r="G44" i="2"/>
</calcChain>
</file>

<file path=xl/sharedStrings.xml><?xml version="1.0" encoding="utf-8"?>
<sst xmlns="http://schemas.openxmlformats.org/spreadsheetml/2006/main" count="673" uniqueCount="221">
  <si>
    <t xml:space="preserve">Event Name </t>
  </si>
  <si>
    <t>Registration Fee</t>
  </si>
  <si>
    <t>Total Prize Money</t>
  </si>
  <si>
    <t>Prize Money Bifurcation</t>
  </si>
  <si>
    <t>Date</t>
  </si>
  <si>
    <t>Time</t>
  </si>
  <si>
    <t>Location</t>
  </si>
  <si>
    <t>Coordinators</t>
  </si>
  <si>
    <t>Student Coordinators</t>
  </si>
  <si>
    <t>NA</t>
  </si>
  <si>
    <t>Kabaddi</t>
  </si>
  <si>
    <t>Chess</t>
  </si>
  <si>
    <t>Registration Target</t>
  </si>
  <si>
    <t>Revenue Target</t>
  </si>
  <si>
    <t>Move &amp; Groove ( Solo-Dance Competition)</t>
  </si>
  <si>
    <t>Move &amp; Groove ( Group-Dance Competitio)</t>
  </si>
  <si>
    <t>Swar Fiesta (Solo-Singing Competition)</t>
  </si>
  <si>
    <t>Battle of Bands</t>
  </si>
  <si>
    <t>Bid To Win (IPL Auction)</t>
  </si>
  <si>
    <t>Vocal Ink ( Slam Poetry)</t>
  </si>
  <si>
    <t>Crack the Clue (Treasure Hunt)</t>
  </si>
  <si>
    <t>The Great Debate (Debate Competition)</t>
  </si>
  <si>
    <t xml:space="preserve">Cricket </t>
  </si>
  <si>
    <t>Carrom</t>
  </si>
  <si>
    <t>Table-Tennis</t>
  </si>
  <si>
    <t>1st - 3100/-
2nd - 2100/-</t>
  </si>
  <si>
    <t>1st - 5100/-
2nd - 3100/-</t>
  </si>
  <si>
    <t>1st-3100</t>
  </si>
  <si>
    <t xml:space="preserve">Power Lifting </t>
  </si>
  <si>
    <t>1st - 2100/-
2nd - 1100/-</t>
  </si>
  <si>
    <t>Cultural</t>
  </si>
  <si>
    <t>Sports</t>
  </si>
  <si>
    <t>Literary and Management</t>
  </si>
  <si>
    <t>Day</t>
  </si>
  <si>
    <t>Thursday</t>
  </si>
  <si>
    <t>Kalpvriksha Auditorium</t>
  </si>
  <si>
    <t>11:00 AM to 2:00 PM</t>
  </si>
  <si>
    <t>Friday</t>
  </si>
  <si>
    <t>Phase 1 Ground</t>
  </si>
  <si>
    <t>Vishwesvariya Auditorium</t>
  </si>
  <si>
    <t>11:00 AM Onwards</t>
  </si>
  <si>
    <t>A Block Cenrtral Stage</t>
  </si>
  <si>
    <t>11:00 AM to 01:00 PM</t>
  </si>
  <si>
    <t>MOOT Court B Block</t>
  </si>
  <si>
    <t>Whole Day</t>
  </si>
  <si>
    <t>Model Hunt (Audition)</t>
  </si>
  <si>
    <t>01:00 PM - 04:00 PM</t>
  </si>
  <si>
    <t>02:00 PM -04:00 PM</t>
  </si>
  <si>
    <t>D Block, IOP</t>
  </si>
  <si>
    <t>Badminton (Singles) Men</t>
  </si>
  <si>
    <t>Badminton (Doubles) Men</t>
  </si>
  <si>
    <t>Badminton (Singles) Women</t>
  </si>
  <si>
    <t>Wednesday</t>
  </si>
  <si>
    <t>Net Revenue</t>
  </si>
  <si>
    <t>Mayank Tanwar - 7014125717
Snehil Kumar - 7000034477</t>
  </si>
  <si>
    <t>IdeaSpark (Single)</t>
  </si>
  <si>
    <t>IdeaSpark (Group)</t>
  </si>
  <si>
    <t>Institute of Computer Application</t>
  </si>
  <si>
    <t>Reel and Photography Competition</t>
  </si>
  <si>
    <t>Intitute of Performing Arts</t>
  </si>
  <si>
    <t>Institute of Design</t>
  </si>
  <si>
    <t>Institute of Management Studies</t>
  </si>
  <si>
    <t>1st - 2500/-
2nd - 1100/-</t>
  </si>
  <si>
    <t>Institute of Law &amp; Legal Studies</t>
  </si>
  <si>
    <t>Other Expenses</t>
  </si>
  <si>
    <t>Winner- 3000
Runner-up-1500</t>
  </si>
  <si>
    <t>Winner-4000
Runner-up-2000</t>
  </si>
  <si>
    <t>Vollyball</t>
  </si>
  <si>
    <t>1st - 2000/-
2nd - 1000/-</t>
  </si>
  <si>
    <t>Arm Wrestling</t>
  </si>
  <si>
    <t>1st - 1200/-
2nd - 600/-</t>
  </si>
  <si>
    <t>Saturday</t>
  </si>
  <si>
    <t>Phase 2 Ground</t>
  </si>
  <si>
    <t>Phase 2 Sports Complex</t>
  </si>
  <si>
    <t>8:30AM to 4:30PM</t>
  </si>
  <si>
    <t>Science and Technology</t>
  </si>
  <si>
    <t>Institute of Agriculture Sciences
Institute of Science
IOP &amp; IPS</t>
  </si>
  <si>
    <t>Sci-Pha-Agro (Model/Product Making presentation)</t>
  </si>
  <si>
    <t>Sci-Pha-Agro (Oral/Poster presentation)</t>
  </si>
  <si>
    <t>AI - Prompt Challenge</t>
  </si>
  <si>
    <t>1st - 5000/-
2nd - 2500/-</t>
  </si>
  <si>
    <t>1st - 2500/-
2nd - 1000/-</t>
  </si>
  <si>
    <t>Battle of Brands</t>
  </si>
  <si>
    <t>Seminar Hall, IMS</t>
  </si>
  <si>
    <t>Mr. Rupesh Patidar</t>
  </si>
  <si>
    <t>Fashion-Fiesta (Fashion Show) (Designer- Max. 6 Dress)</t>
  </si>
  <si>
    <t>Fashion-Fiesta (Fashion Show) (Graduation Student IOD)</t>
  </si>
  <si>
    <t>Model Hunt (Finalist)</t>
  </si>
  <si>
    <t>Robo Race</t>
  </si>
  <si>
    <t>Decoder Spyder</t>
  </si>
  <si>
    <t>Civil Engineering</t>
  </si>
  <si>
    <t>Electronics &amp; Communication</t>
  </si>
  <si>
    <t>IET - CSE (Core)</t>
  </si>
  <si>
    <t>IAC (Specialisation)</t>
  </si>
  <si>
    <t>IAC - CSE (Core)</t>
  </si>
  <si>
    <t>Category</t>
  </si>
  <si>
    <t>S.No.</t>
  </si>
  <si>
    <t xml:space="preserve">Headed by </t>
  </si>
  <si>
    <t>Sports Department</t>
  </si>
  <si>
    <t>Bridge Making</t>
  </si>
  <si>
    <t>1st - 11000/-</t>
  </si>
  <si>
    <t>Ground</t>
  </si>
  <si>
    <t>Shivani Kumari - 8236032783</t>
  </si>
  <si>
    <t>Akshit Jadhav - 6261011612</t>
  </si>
  <si>
    <t>Palaksha Kirtiwar - 8269760773</t>
  </si>
  <si>
    <t>Lan Gamming</t>
  </si>
  <si>
    <t>Coading Mania</t>
  </si>
  <si>
    <t>10:30 AM- 2:30 PM</t>
  </si>
  <si>
    <t>F-33 (NVDIA LAB)</t>
  </si>
  <si>
    <t>28-10-2026 &amp; 29-10-2026</t>
  </si>
  <si>
    <t>Wednesday/Thursday</t>
  </si>
  <si>
    <t>LAB -1 A Block</t>
  </si>
  <si>
    <t xml:space="preserve">Mr. Ujjwal </t>
  </si>
  <si>
    <t xml:space="preserve"> F5 and F8  M block</t>
  </si>
  <si>
    <t>T - 21 M2 Block</t>
  </si>
  <si>
    <t>M Block Ground Floor</t>
  </si>
  <si>
    <t xml:space="preserve">Mechanical Engineering </t>
  </si>
  <si>
    <t>Junkyard Wars</t>
  </si>
  <si>
    <t>M Blcok</t>
  </si>
  <si>
    <t xml:space="preserve">Mr Bhupesh Netam - 8109395787
Mr. Raj Lodhi - 9111944896
</t>
  </si>
  <si>
    <t>Prof. Lakhmichand Deshmukh - 9131947674</t>
  </si>
  <si>
    <t>Prof. Deepak Agrawal - 9111952954</t>
  </si>
  <si>
    <t>Prof. Lokendra Vishwakarma - 9993550257</t>
  </si>
  <si>
    <t>Prof. Priyanka Rajput - 7909903880</t>
  </si>
  <si>
    <t>Dr. Gautam Singh - 9643988540</t>
  </si>
  <si>
    <t>Mr. Nitish Kumar - 8092133245
Mr. Abhishek Singh -   7724017524</t>
  </si>
  <si>
    <t>Prof. Gourav Agrawal - 9109342757</t>
  </si>
  <si>
    <t>Ms. Umme Kulsum Khan - 6264632623
Mr. Asif Khan - 6201011783</t>
  </si>
  <si>
    <t xml:space="preserve">Mr. Prasoon Singh Parihar - 7223810082
Mr. Aditya Yadav - 9244639933
</t>
  </si>
  <si>
    <t>Mr. Amit Gupta - 8871533002
Mr. Atul Vishwakarma - 9877958806</t>
  </si>
  <si>
    <t>Prof Megha Gupta - 9343790105</t>
  </si>
  <si>
    <t>Ms. Yogeshwari Agrawal - 8085184206</t>
  </si>
  <si>
    <t>Akash Yadav - 7266069509</t>
  </si>
  <si>
    <t>Move &amp; Groove ( Solo-Dance Audtion)</t>
  </si>
  <si>
    <t>Move &amp; Groove ( Group-Dance Audition)</t>
  </si>
  <si>
    <t>10:00 AM to 04:00 PM</t>
  </si>
  <si>
    <t>Swar Fiesta (Solo-Singing Audition)</t>
  </si>
  <si>
    <t>10:00 AM to 12:00 PM</t>
  </si>
  <si>
    <t>12:00 PM to 04:00 PM</t>
  </si>
  <si>
    <t>Mr. Euphoria-2100/-
Ms. Euphoria-2100/-
Best Walk(Male)-1100/-
Best Walk(Female)-1100/-</t>
  </si>
  <si>
    <t>6:30 PM - 10:00 PM</t>
  </si>
  <si>
    <t>Event Club (SSAC)</t>
  </si>
  <si>
    <t>Event  Club (SSAC)</t>
  </si>
  <si>
    <t>Dgital Branding and Promotion Club (SSAC)</t>
  </si>
  <si>
    <t>10:30 AM - 12:00 PM</t>
  </si>
  <si>
    <t>Magic Show - By Sagar Kumar</t>
  </si>
  <si>
    <t>Standup Comedy - By Pankaj Upadhyay</t>
  </si>
  <si>
    <t>02:00 PM - 3:00 PM</t>
  </si>
  <si>
    <t>Mr. Tejas Apte - 993052379
Mr. Divyasnh Soni - 6262252359</t>
  </si>
  <si>
    <t>12:00 PM - 04:00 PM</t>
  </si>
  <si>
    <t>Radio SAGE 89.6 FM</t>
  </si>
  <si>
    <t>Mr. Ashok Kumar</t>
  </si>
  <si>
    <t>1st - 1100/-
2nd - 500/-
1st - 1100/-
2nd - 500/-</t>
  </si>
  <si>
    <t>Ms. Shradha Rathore - 9399633019
Ms. Mahima Raghuvanshi - 7389009944</t>
  </si>
  <si>
    <t>O Block (ICA)</t>
  </si>
  <si>
    <t>Winner-14000
Runner-up-6000</t>
  </si>
  <si>
    <t>Mr. Sai Nishant- 799359186
Mr. Pulkit Mani - 9111776090I</t>
  </si>
  <si>
    <t>Mr. Mohit Jagtap - 9754844475
Ms. Paridhi Sharma - 6264474614</t>
  </si>
  <si>
    <t>Football 7 a Side</t>
  </si>
  <si>
    <t>Winner-7000
Runner-up - 3000</t>
  </si>
  <si>
    <t>26-10-2026 &amp; 27-10-2026</t>
  </si>
  <si>
    <t>Monday - Tuesday</t>
  </si>
  <si>
    <t>Mr. Snehil Kumar - 7000034477
Mr. Kalash Patwa - 8839043131</t>
  </si>
  <si>
    <t>Winner-2500
Runner-up-1200</t>
  </si>
  <si>
    <t>Winner-2000
Runner-up-1200</t>
  </si>
  <si>
    <t>25-10-2026-26-10-2026</t>
  </si>
  <si>
    <t>Sunday - Monday</t>
  </si>
  <si>
    <t>Mr. Pulkit Mani - 9111776090I
Aisha - 9329799556</t>
  </si>
  <si>
    <t>24-10-2026-25-10-2026</t>
  </si>
  <si>
    <t>Saturday - Sunday</t>
  </si>
  <si>
    <t>Jayesh Danga - 9414144107
Viraj Patidar - 6260403906</t>
  </si>
  <si>
    <t>26-10-2026-27-10-2026</t>
  </si>
  <si>
    <t>Shaurya singh
8319993357
Prince R Prajapati
9913276128
Vedant Patel
9589396704</t>
  </si>
  <si>
    <t>Winner-1600</t>
  </si>
  <si>
    <t>Asmit
8083106812
Pulkit Mani
9111776090</t>
  </si>
  <si>
    <t>Asmit
8083106812
Simran
8360943655</t>
  </si>
  <si>
    <t>Winner-2500</t>
  </si>
  <si>
    <t>Sunday</t>
  </si>
  <si>
    <t>Shrey Tiwari
8817735521
Shubham Kushwah
9301557813</t>
  </si>
  <si>
    <t>Monday</t>
  </si>
  <si>
    <t>Malay Patel
7489529344
Apurva mishra
9354269005</t>
  </si>
  <si>
    <t>Tuesday</t>
  </si>
  <si>
    <t>Malay Patel
7489529344
Avinash
8357847381</t>
  </si>
  <si>
    <t>1st - 1000/-
2nd - 700/-</t>
  </si>
  <si>
    <t>Dr. Nitika Vats Doohan 
Prof Nidhi Sharma (IMS)
Prof Pranjali Shukla (IPA)</t>
  </si>
  <si>
    <t>Dr. Nitika Vats Doohan
Prof Nidhi Sharma (IMS)</t>
  </si>
  <si>
    <r>
      <t>Prof. Vaishnavi pandey  - 9424979622
Prof Purnima Naik - 7587440603</t>
    </r>
    <r>
      <rPr>
        <b/>
        <sz val="10"/>
        <color theme="1"/>
        <rFont val="Times New Roman"/>
        <family val="1"/>
      </rPr>
      <t xml:space="preserve"> </t>
    </r>
  </si>
  <si>
    <t>Mr. Subham bais  -9179212928
Ms. Priya Kumari - 9122100460</t>
  </si>
  <si>
    <t>03:00  PM - 06:00 PM</t>
  </si>
  <si>
    <t>Mr. Deep Singh - 62652 20662</t>
  </si>
  <si>
    <t>Mr, Nakshatra Maltare - 70676 09966</t>
  </si>
  <si>
    <t>Prof. Dipendra Yadav: 8770743431
Dr Ankur Khandelwal: 9098791342</t>
  </si>
  <si>
    <t xml:space="preserve"> Dr. Jyoti Jaiswal ( Faculty): 7974852180
Prof. Ayush Patidar (Faculty): 8349311882</t>
  </si>
  <si>
    <t>Mr. Aditya Viswas
Mr. Rudransh Gupta 
Mr. Yash</t>
  </si>
  <si>
    <t>25-10-2026-26-10-2027</t>
  </si>
  <si>
    <t>25-10-2026-26-10-2028</t>
  </si>
  <si>
    <t>Inaugral Session</t>
  </si>
  <si>
    <t>09:30 AM - 10:30 AM</t>
  </si>
  <si>
    <t>10:30 AM to 1:30 PM</t>
  </si>
  <si>
    <t>Prof Pranjali Shukla (IPA) - 91792 76626
Prof. Surbhi Sudame - 9713742310</t>
  </si>
  <si>
    <t>Prof. OP Karada - 88786 81086
Prof. Amol Mandpe - 95844 38803</t>
  </si>
  <si>
    <t>Prof. Bhagyashree Gaykwad - 9826981080
 Prof. Santosh Udawat - 9755066545
Prof. Nirantar Hada - 9171027474</t>
  </si>
  <si>
    <t>23-10-2026 - 29-10-2026</t>
  </si>
  <si>
    <t>Mr. Rupesh Patidar - 9826278264</t>
  </si>
  <si>
    <t>Prof Pranjali Shukla (IPA) - 91792 76626
Prof. Rishikesh Parnekar - 77468 81737</t>
  </si>
  <si>
    <t xml:space="preserve">Mr. Ronak Bharadwaj - 9977334153 </t>
  </si>
  <si>
    <t>Mr. Deep Singh - 62652 20663</t>
  </si>
  <si>
    <t>10:30 AM - 12:30 PM</t>
  </si>
  <si>
    <t>Mr, Nakshatra Maltare - 70676 09967</t>
  </si>
  <si>
    <t>Dr Akash S Panwar - 9617958072
Mrs Akansha Ghodhke -7869508369
Dr Amrit Varshini - 9472977501
Dr Vinras Dawane - 9893842357</t>
  </si>
  <si>
    <t>Mr Ayush Kumar Pandey 
7702241454</t>
  </si>
  <si>
    <t>Ms. Shivani Kumari - 8236032783</t>
  </si>
  <si>
    <t>Ms. Palaksha Kirtiwar - 8269760773</t>
  </si>
  <si>
    <t>Gauranvi Pandey
Vaibhav Sharma
Rajal Bansodkar
Sudhir Kevat
Kushagra Shrivastava
Disha</t>
  </si>
  <si>
    <t>12:30 PM - 01:30 PM</t>
  </si>
  <si>
    <t>Veledictory</t>
  </si>
  <si>
    <t>02:00 PM - 03:00 PM</t>
  </si>
  <si>
    <t xml:space="preserve">Dr. Rashmi Yadav
Dr. Jyoti Panchal
Mr. Govind Basedia </t>
  </si>
  <si>
    <t>Ms. Yogeshwari Agrawal - 8085184206                                                                          Ms. Himashi Bhola - 9630843077</t>
  </si>
  <si>
    <t xml:space="preserve"> Dr. Jyoti Jaiswal : 7974852180
Prof. Ayush Patidar : 8349311882</t>
  </si>
  <si>
    <t>Gauranvi Pandey - 6261157599
Vaibhav Sharma - 8319111587
Rajal Bansodkar - 6261464779
Sudhir Kevat - 9630717176
Kushagra Shrivastava - 7898895555
Disha - 8815601993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</si>
</sst>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Helvetica Neue"/>
    </font>
    <font>
      <sz val="8"/>
      <name val="Calibri"/>
      <family val="2"/>
      <scheme val="minor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AE47-D9F5-4BB7-BBCF-9678ED6B1224}">
  <sheetPr>
    <pageSetUpPr fitToPage="1"/>
  </sheetPr>
  <dimension ref="A1:Q48"/>
  <sheetViews>
    <sheetView tabSelected="1" topLeftCell="A26" zoomScale="55" zoomScaleNormal="55" workbookViewId="0">
      <selection activeCell="D44" sqref="D44"/>
    </sheetView>
  </sheetViews>
  <sheetFormatPr defaultColWidth="22.77734375" defaultRowHeight="13.2" x14ac:dyDescent="0.3"/>
  <cols>
    <col min="1" max="1" width="21.109375" style="12" bestFit="1" customWidth="1"/>
    <col min="2" max="2" width="5.6640625" style="13" bestFit="1" customWidth="1"/>
    <col min="3" max="3" width="22" style="12" bestFit="1" customWidth="1"/>
    <col min="4" max="4" width="34.5546875" style="14" bestFit="1" customWidth="1"/>
    <col min="5" max="5" width="15" style="10" bestFit="1" customWidth="1"/>
    <col min="6" max="6" width="17.5546875" style="10" bestFit="1" customWidth="1"/>
    <col min="7" max="7" width="14.21875" style="10" bestFit="1" customWidth="1"/>
    <col min="8" max="8" width="22" style="10" bestFit="1" customWidth="1"/>
    <col min="9" max="9" width="16.77734375" style="10" bestFit="1" customWidth="1"/>
    <col min="10" max="10" width="14.21875" style="10" bestFit="1" customWidth="1"/>
    <col min="11" max="11" width="11.6640625" style="10" bestFit="1" customWidth="1"/>
    <col min="12" max="12" width="22.33203125" style="12" bestFit="1" customWidth="1"/>
    <col min="13" max="13" width="18" style="12" bestFit="1" customWidth="1"/>
    <col min="14" max="14" width="19.77734375" style="10" bestFit="1" customWidth="1"/>
    <col min="15" max="15" width="22" style="10" bestFit="1" customWidth="1"/>
    <col min="16" max="16" width="39.44140625" style="10" customWidth="1"/>
    <col min="17" max="17" width="63.5546875" style="10" bestFit="1" customWidth="1"/>
    <col min="18" max="16384" width="22.77734375" style="10"/>
  </cols>
  <sheetData>
    <row r="1" spans="1:17" s="7" customFormat="1" ht="26.4" x14ac:dyDescent="0.3">
      <c r="A1" s="5" t="s">
        <v>95</v>
      </c>
      <c r="B1" s="6" t="s">
        <v>96</v>
      </c>
      <c r="C1" s="5" t="s">
        <v>97</v>
      </c>
      <c r="D1" s="5" t="s">
        <v>0</v>
      </c>
      <c r="E1" s="5" t="s">
        <v>1</v>
      </c>
      <c r="F1" s="5" t="s">
        <v>12</v>
      </c>
      <c r="G1" s="5" t="s">
        <v>13</v>
      </c>
      <c r="H1" s="5" t="s">
        <v>3</v>
      </c>
      <c r="I1" s="5" t="s">
        <v>2</v>
      </c>
      <c r="J1" s="5" t="s">
        <v>64</v>
      </c>
      <c r="K1" s="5" t="s">
        <v>53</v>
      </c>
      <c r="L1" s="5" t="s">
        <v>4</v>
      </c>
      <c r="M1" s="5" t="s">
        <v>33</v>
      </c>
      <c r="N1" s="5" t="s">
        <v>5</v>
      </c>
      <c r="O1" s="5" t="s">
        <v>6</v>
      </c>
      <c r="P1" s="5" t="s">
        <v>7</v>
      </c>
      <c r="Q1" s="5" t="s">
        <v>8</v>
      </c>
    </row>
    <row r="2" spans="1:17" s="7" customFormat="1" ht="22.8" customHeight="1" x14ac:dyDescent="0.3">
      <c r="A2" s="70" t="s">
        <v>30</v>
      </c>
      <c r="B2" s="72">
        <v>1</v>
      </c>
      <c r="C2" s="71" t="s">
        <v>141</v>
      </c>
      <c r="D2" s="17" t="s">
        <v>133</v>
      </c>
      <c r="E2" s="18">
        <v>99</v>
      </c>
      <c r="F2" s="19">
        <v>50</v>
      </c>
      <c r="G2" s="19">
        <f t="shared" ref="G2" si="0">E2*F2</f>
        <v>4950</v>
      </c>
      <c r="H2" s="20">
        <v>0</v>
      </c>
      <c r="I2" s="20">
        <v>0</v>
      </c>
      <c r="J2" s="20">
        <v>0</v>
      </c>
      <c r="K2" s="20">
        <f>G2-I2-J2</f>
        <v>4950</v>
      </c>
      <c r="L2" s="23">
        <v>46311</v>
      </c>
      <c r="M2" s="23" t="s">
        <v>37</v>
      </c>
      <c r="N2" s="71" t="s">
        <v>135</v>
      </c>
      <c r="O2" s="71" t="s">
        <v>35</v>
      </c>
      <c r="P2" s="73" t="s">
        <v>199</v>
      </c>
      <c r="Q2" s="73" t="s">
        <v>218</v>
      </c>
    </row>
    <row r="3" spans="1:17" s="7" customFormat="1" ht="22.8" customHeight="1" x14ac:dyDescent="0.3">
      <c r="A3" s="70"/>
      <c r="B3" s="72"/>
      <c r="C3" s="71"/>
      <c r="D3" s="17" t="s">
        <v>134</v>
      </c>
      <c r="E3" s="18">
        <v>199</v>
      </c>
      <c r="F3" s="19">
        <v>30</v>
      </c>
      <c r="G3" s="19">
        <f t="shared" ref="G3" si="1">E3*F3</f>
        <v>5970</v>
      </c>
      <c r="H3" s="20">
        <v>0</v>
      </c>
      <c r="I3" s="20">
        <v>0</v>
      </c>
      <c r="J3" s="20">
        <v>0</v>
      </c>
      <c r="K3" s="20">
        <f t="shared" ref="K3" si="2">G3-I3-J3</f>
        <v>5970</v>
      </c>
      <c r="L3" s="23">
        <v>46311</v>
      </c>
      <c r="M3" s="23" t="s">
        <v>37</v>
      </c>
      <c r="N3" s="71"/>
      <c r="O3" s="71"/>
      <c r="P3" s="73"/>
      <c r="Q3" s="73"/>
    </row>
    <row r="4" spans="1:17" ht="26.4" customHeight="1" x14ac:dyDescent="0.3">
      <c r="A4" s="70"/>
      <c r="B4" s="72"/>
      <c r="C4" s="71"/>
      <c r="D4" s="17" t="s">
        <v>14</v>
      </c>
      <c r="E4" s="18">
        <v>249</v>
      </c>
      <c r="F4" s="19">
        <v>30</v>
      </c>
      <c r="G4" s="19">
        <f t="shared" ref="G4:G43" si="3">E4*F4</f>
        <v>7470</v>
      </c>
      <c r="H4" s="20" t="s">
        <v>25</v>
      </c>
      <c r="I4" s="20">
        <v>5200</v>
      </c>
      <c r="J4" s="20">
        <v>0</v>
      </c>
      <c r="K4" s="20">
        <f>G4-I4-J4</f>
        <v>2270</v>
      </c>
      <c r="L4" s="23">
        <v>46323</v>
      </c>
      <c r="M4" s="23" t="s">
        <v>52</v>
      </c>
      <c r="N4" s="73" t="s">
        <v>36</v>
      </c>
      <c r="O4" s="71" t="s">
        <v>35</v>
      </c>
      <c r="P4" s="73"/>
      <c r="Q4" s="73"/>
    </row>
    <row r="5" spans="1:17" ht="26.4" x14ac:dyDescent="0.3">
      <c r="A5" s="70"/>
      <c r="B5" s="72"/>
      <c r="C5" s="71"/>
      <c r="D5" s="17" t="s">
        <v>15</v>
      </c>
      <c r="E5" s="18">
        <v>799</v>
      </c>
      <c r="F5" s="19">
        <v>15</v>
      </c>
      <c r="G5" s="19">
        <f t="shared" si="3"/>
        <v>11985</v>
      </c>
      <c r="H5" s="20" t="s">
        <v>26</v>
      </c>
      <c r="I5" s="20">
        <v>8200</v>
      </c>
      <c r="J5" s="20">
        <v>0</v>
      </c>
      <c r="K5" s="20">
        <f t="shared" ref="K5:K18" si="4">G5-I5-J5</f>
        <v>3785</v>
      </c>
      <c r="L5" s="23">
        <v>46323</v>
      </c>
      <c r="M5" s="23" t="s">
        <v>52</v>
      </c>
      <c r="N5" s="73"/>
      <c r="O5" s="71"/>
      <c r="P5" s="73"/>
      <c r="Q5" s="73"/>
    </row>
    <row r="6" spans="1:17" ht="13.2" customHeight="1" x14ac:dyDescent="0.3">
      <c r="A6" s="70"/>
      <c r="B6" s="86">
        <v>2</v>
      </c>
      <c r="C6" s="71" t="s">
        <v>142</v>
      </c>
      <c r="D6" s="17" t="s">
        <v>136</v>
      </c>
      <c r="E6" s="18">
        <v>99</v>
      </c>
      <c r="F6" s="19">
        <v>50</v>
      </c>
      <c r="G6" s="19">
        <f t="shared" ref="G6" si="5">E6*F6</f>
        <v>4950</v>
      </c>
      <c r="H6" s="20">
        <v>0</v>
      </c>
      <c r="I6" s="20">
        <v>0</v>
      </c>
      <c r="J6" s="20">
        <v>0</v>
      </c>
      <c r="K6" s="20">
        <f t="shared" ref="K6" si="6">G6-I6-J6</f>
        <v>4950</v>
      </c>
      <c r="L6" s="23">
        <v>46310</v>
      </c>
      <c r="M6" s="18" t="s">
        <v>34</v>
      </c>
      <c r="N6" s="20" t="s">
        <v>135</v>
      </c>
      <c r="O6" s="71" t="s">
        <v>35</v>
      </c>
      <c r="P6" s="75" t="s">
        <v>204</v>
      </c>
      <c r="Q6" s="79" t="s">
        <v>102</v>
      </c>
    </row>
    <row r="7" spans="1:17" ht="26.4" x14ac:dyDescent="0.3">
      <c r="A7" s="70"/>
      <c r="B7" s="86"/>
      <c r="C7" s="71"/>
      <c r="D7" s="17" t="s">
        <v>16</v>
      </c>
      <c r="E7" s="18">
        <v>249</v>
      </c>
      <c r="F7" s="19">
        <v>30</v>
      </c>
      <c r="G7" s="19">
        <f t="shared" si="3"/>
        <v>7470</v>
      </c>
      <c r="H7" s="20" t="s">
        <v>25</v>
      </c>
      <c r="I7" s="20">
        <v>5200</v>
      </c>
      <c r="J7" s="20">
        <v>0</v>
      </c>
      <c r="K7" s="20">
        <f t="shared" si="4"/>
        <v>2270</v>
      </c>
      <c r="L7" s="23">
        <v>46324</v>
      </c>
      <c r="M7" s="18" t="s">
        <v>34</v>
      </c>
      <c r="N7" s="22" t="s">
        <v>137</v>
      </c>
      <c r="O7" s="71"/>
      <c r="P7" s="76"/>
      <c r="Q7" s="79"/>
    </row>
    <row r="8" spans="1:17" ht="73.2" customHeight="1" x14ac:dyDescent="0.3">
      <c r="A8" s="70"/>
      <c r="B8" s="6">
        <v>3</v>
      </c>
      <c r="C8" s="18" t="s">
        <v>59</v>
      </c>
      <c r="D8" s="17" t="s">
        <v>17</v>
      </c>
      <c r="E8" s="18">
        <v>2499</v>
      </c>
      <c r="F8" s="19">
        <v>6</v>
      </c>
      <c r="G8" s="19">
        <f t="shared" si="3"/>
        <v>14994</v>
      </c>
      <c r="H8" s="18" t="s">
        <v>100</v>
      </c>
      <c r="I8" s="20">
        <v>11000</v>
      </c>
      <c r="J8" s="20">
        <v>0</v>
      </c>
      <c r="K8" s="20">
        <f t="shared" si="4"/>
        <v>3994</v>
      </c>
      <c r="L8" s="21">
        <v>46324</v>
      </c>
      <c r="M8" s="18" t="s">
        <v>34</v>
      </c>
      <c r="N8" s="22" t="s">
        <v>138</v>
      </c>
      <c r="O8" s="19" t="s">
        <v>35</v>
      </c>
      <c r="P8" s="20" t="s">
        <v>200</v>
      </c>
      <c r="Q8" s="20" t="s">
        <v>54</v>
      </c>
    </row>
    <row r="9" spans="1:17" ht="93.6" customHeight="1" x14ac:dyDescent="0.3">
      <c r="A9" s="70"/>
      <c r="B9" s="72">
        <v>4</v>
      </c>
      <c r="C9" s="1" t="s">
        <v>60</v>
      </c>
      <c r="D9" s="27" t="s">
        <v>45</v>
      </c>
      <c r="E9" s="1">
        <v>199</v>
      </c>
      <c r="F9" s="2">
        <v>100</v>
      </c>
      <c r="G9" s="2">
        <f>E9*F9</f>
        <v>19900</v>
      </c>
      <c r="H9" s="1">
        <v>0</v>
      </c>
      <c r="I9" s="1">
        <v>0</v>
      </c>
      <c r="J9" s="1">
        <v>0</v>
      </c>
      <c r="K9" s="3">
        <f>G9-I9-J9</f>
        <v>19900</v>
      </c>
      <c r="L9" s="4">
        <v>46298</v>
      </c>
      <c r="M9" s="1" t="s">
        <v>71</v>
      </c>
      <c r="N9" s="28" t="s">
        <v>135</v>
      </c>
      <c r="O9" s="2" t="s">
        <v>35</v>
      </c>
      <c r="P9" s="1" t="s">
        <v>201</v>
      </c>
      <c r="Q9" s="32"/>
    </row>
    <row r="10" spans="1:17" s="26" customFormat="1" ht="79.2" x14ac:dyDescent="0.3">
      <c r="A10" s="70"/>
      <c r="B10" s="72"/>
      <c r="C10" s="3" t="s">
        <v>60</v>
      </c>
      <c r="D10" s="29" t="s">
        <v>87</v>
      </c>
      <c r="E10" s="3">
        <v>799</v>
      </c>
      <c r="F10" s="28">
        <v>45</v>
      </c>
      <c r="G10" s="28">
        <f>E10*F10</f>
        <v>35955</v>
      </c>
      <c r="H10" s="3" t="s">
        <v>139</v>
      </c>
      <c r="I10" s="3">
        <v>6400</v>
      </c>
      <c r="J10" s="3">
        <v>0</v>
      </c>
      <c r="K10" s="3">
        <f>G10-I10-J10</f>
        <v>29555</v>
      </c>
      <c r="L10" s="30">
        <v>46323</v>
      </c>
      <c r="M10" s="3" t="s">
        <v>34</v>
      </c>
      <c r="N10" s="28" t="s">
        <v>188</v>
      </c>
      <c r="O10" s="2" t="s">
        <v>35</v>
      </c>
      <c r="P10" s="1" t="s">
        <v>201</v>
      </c>
      <c r="Q10" s="34"/>
    </row>
    <row r="11" spans="1:17" s="26" customFormat="1" ht="35.4" customHeight="1" x14ac:dyDescent="0.3">
      <c r="A11" s="70"/>
      <c r="B11" s="72"/>
      <c r="C11" s="3" t="s">
        <v>60</v>
      </c>
      <c r="D11" s="29" t="s">
        <v>86</v>
      </c>
      <c r="E11" s="3">
        <v>2499</v>
      </c>
      <c r="F11" s="28">
        <v>18</v>
      </c>
      <c r="G11" s="28">
        <f t="shared" si="3"/>
        <v>44982</v>
      </c>
      <c r="H11" s="3" t="s">
        <v>26</v>
      </c>
      <c r="I11" s="3">
        <v>8200</v>
      </c>
      <c r="J11" s="3">
        <v>0</v>
      </c>
      <c r="K11" s="3">
        <f t="shared" si="4"/>
        <v>36782</v>
      </c>
      <c r="L11" s="30">
        <v>46324</v>
      </c>
      <c r="M11" s="3" t="s">
        <v>34</v>
      </c>
      <c r="N11" s="74" t="s">
        <v>140</v>
      </c>
      <c r="O11" s="74" t="s">
        <v>101</v>
      </c>
      <c r="P11" s="83" t="s">
        <v>201</v>
      </c>
      <c r="Q11" s="34"/>
    </row>
    <row r="12" spans="1:17" ht="50.4" customHeight="1" x14ac:dyDescent="0.3">
      <c r="A12" s="70"/>
      <c r="B12" s="72"/>
      <c r="C12" s="3" t="s">
        <v>60</v>
      </c>
      <c r="D12" s="27" t="s">
        <v>85</v>
      </c>
      <c r="E12" s="1">
        <v>4999</v>
      </c>
      <c r="F12" s="2">
        <v>10</v>
      </c>
      <c r="G12" s="2">
        <f t="shared" si="3"/>
        <v>49990</v>
      </c>
      <c r="H12" s="3" t="s">
        <v>100</v>
      </c>
      <c r="I12" s="1">
        <v>11000</v>
      </c>
      <c r="J12" s="1">
        <v>0</v>
      </c>
      <c r="K12" s="3">
        <f t="shared" si="4"/>
        <v>38990</v>
      </c>
      <c r="L12" s="30">
        <v>46324</v>
      </c>
      <c r="M12" s="3" t="s">
        <v>34</v>
      </c>
      <c r="N12" s="74"/>
      <c r="O12" s="74"/>
      <c r="P12" s="83"/>
      <c r="Q12" s="32"/>
    </row>
    <row r="13" spans="1:17" ht="41.4" customHeight="1" x14ac:dyDescent="0.3">
      <c r="A13" s="70"/>
      <c r="B13" s="6">
        <v>5</v>
      </c>
      <c r="C13" s="18" t="s">
        <v>143</v>
      </c>
      <c r="D13" s="31" t="s">
        <v>58</v>
      </c>
      <c r="E13" s="19">
        <v>149</v>
      </c>
      <c r="F13" s="19">
        <v>30</v>
      </c>
      <c r="G13" s="19">
        <f t="shared" si="3"/>
        <v>4470</v>
      </c>
      <c r="H13" s="18" t="s">
        <v>29</v>
      </c>
      <c r="I13" s="19">
        <v>3200</v>
      </c>
      <c r="J13" s="19">
        <v>0</v>
      </c>
      <c r="K13" s="20">
        <f t="shared" si="4"/>
        <v>1270</v>
      </c>
      <c r="L13" s="21" t="s">
        <v>202</v>
      </c>
      <c r="M13" s="18" t="s">
        <v>37</v>
      </c>
      <c r="N13" s="19" t="s">
        <v>44</v>
      </c>
      <c r="O13" s="19" t="s">
        <v>9</v>
      </c>
      <c r="P13" s="18" t="s">
        <v>203</v>
      </c>
      <c r="Q13" s="19" t="s">
        <v>103</v>
      </c>
    </row>
    <row r="14" spans="1:17" ht="37.200000000000003" customHeight="1" x14ac:dyDescent="0.3">
      <c r="A14" s="70"/>
      <c r="B14" s="6">
        <v>6</v>
      </c>
      <c r="C14" s="18" t="s">
        <v>141</v>
      </c>
      <c r="D14" s="31" t="s">
        <v>145</v>
      </c>
      <c r="E14" s="19">
        <v>49</v>
      </c>
      <c r="F14" s="19">
        <v>600</v>
      </c>
      <c r="G14" s="19">
        <f t="shared" ref="G14" si="7">E14*F14</f>
        <v>29400</v>
      </c>
      <c r="H14" s="19">
        <v>0</v>
      </c>
      <c r="I14" s="19">
        <v>0</v>
      </c>
      <c r="J14" s="2">
        <v>0</v>
      </c>
      <c r="K14" s="20">
        <f t="shared" ref="K14" si="8">G14-I14-J14</f>
        <v>29400</v>
      </c>
      <c r="L14" s="21">
        <v>46325</v>
      </c>
      <c r="M14" s="18" t="s">
        <v>37</v>
      </c>
      <c r="N14" s="19" t="s">
        <v>144</v>
      </c>
      <c r="O14" s="19" t="s">
        <v>35</v>
      </c>
      <c r="P14" s="18" t="s">
        <v>185</v>
      </c>
      <c r="Q14" s="18" t="s">
        <v>148</v>
      </c>
    </row>
    <row r="15" spans="1:17" ht="39" customHeight="1" x14ac:dyDescent="0.3">
      <c r="A15" s="70"/>
      <c r="B15" s="6">
        <v>7</v>
      </c>
      <c r="C15" s="18" t="s">
        <v>142</v>
      </c>
      <c r="D15" s="31" t="s">
        <v>146</v>
      </c>
      <c r="E15" s="19">
        <v>49</v>
      </c>
      <c r="F15" s="19">
        <v>600</v>
      </c>
      <c r="G15" s="19">
        <f t="shared" si="3"/>
        <v>29400</v>
      </c>
      <c r="H15" s="19">
        <v>0</v>
      </c>
      <c r="I15" s="19">
        <v>0</v>
      </c>
      <c r="J15" s="2">
        <v>0</v>
      </c>
      <c r="K15" s="20">
        <f t="shared" si="4"/>
        <v>29400</v>
      </c>
      <c r="L15" s="21">
        <v>46323</v>
      </c>
      <c r="M15" s="18" t="s">
        <v>52</v>
      </c>
      <c r="N15" s="19" t="s">
        <v>147</v>
      </c>
      <c r="O15" s="19" t="s">
        <v>35</v>
      </c>
      <c r="P15" s="18" t="s">
        <v>185</v>
      </c>
      <c r="Q15" s="18" t="s">
        <v>148</v>
      </c>
    </row>
    <row r="16" spans="1:17" ht="37.200000000000003" customHeight="1" x14ac:dyDescent="0.3">
      <c r="A16" s="70" t="s">
        <v>32</v>
      </c>
      <c r="B16" s="6">
        <v>8</v>
      </c>
      <c r="C16" s="18" t="s">
        <v>141</v>
      </c>
      <c r="D16" s="17" t="s">
        <v>20</v>
      </c>
      <c r="E16" s="18">
        <v>999</v>
      </c>
      <c r="F16" s="19">
        <v>10</v>
      </c>
      <c r="G16" s="19">
        <f t="shared" si="3"/>
        <v>9990</v>
      </c>
      <c r="H16" s="20" t="s">
        <v>27</v>
      </c>
      <c r="I16" s="18">
        <v>3100</v>
      </c>
      <c r="J16" s="18">
        <v>0</v>
      </c>
      <c r="K16" s="20">
        <f t="shared" si="4"/>
        <v>6890</v>
      </c>
      <c r="L16" s="21">
        <v>46323</v>
      </c>
      <c r="M16" s="18" t="s">
        <v>52</v>
      </c>
      <c r="N16" s="22" t="s">
        <v>40</v>
      </c>
      <c r="O16" s="19" t="s">
        <v>41</v>
      </c>
      <c r="P16" s="18" t="s">
        <v>205</v>
      </c>
      <c r="Q16" s="18" t="s">
        <v>104</v>
      </c>
    </row>
    <row r="17" spans="1:17" ht="129" customHeight="1" x14ac:dyDescent="0.3">
      <c r="A17" s="70"/>
      <c r="B17" s="6">
        <v>9</v>
      </c>
      <c r="C17" s="25" t="s">
        <v>61</v>
      </c>
      <c r="D17" s="17" t="s">
        <v>18</v>
      </c>
      <c r="E17" s="18">
        <v>499</v>
      </c>
      <c r="F17" s="19">
        <v>30</v>
      </c>
      <c r="G17" s="19">
        <f t="shared" si="3"/>
        <v>14970</v>
      </c>
      <c r="H17" s="18" t="s">
        <v>80</v>
      </c>
      <c r="I17" s="18">
        <v>3100</v>
      </c>
      <c r="J17" s="18">
        <v>0</v>
      </c>
      <c r="K17" s="20">
        <f t="shared" si="4"/>
        <v>11870</v>
      </c>
      <c r="L17" s="35">
        <v>46324</v>
      </c>
      <c r="M17" s="18" t="s">
        <v>34</v>
      </c>
      <c r="N17" s="22" t="s">
        <v>46</v>
      </c>
      <c r="O17" s="19" t="s">
        <v>39</v>
      </c>
      <c r="P17" s="18" t="s">
        <v>191</v>
      </c>
      <c r="Q17" s="18" t="s">
        <v>220</v>
      </c>
    </row>
    <row r="18" spans="1:17" ht="63.6" customHeight="1" x14ac:dyDescent="0.3">
      <c r="A18" s="70"/>
      <c r="B18" s="6">
        <v>10</v>
      </c>
      <c r="C18" s="25" t="s">
        <v>61</v>
      </c>
      <c r="D18" s="17" t="s">
        <v>82</v>
      </c>
      <c r="E18" s="18">
        <v>199</v>
      </c>
      <c r="F18" s="19">
        <v>25</v>
      </c>
      <c r="G18" s="19">
        <f t="shared" si="3"/>
        <v>4975</v>
      </c>
      <c r="H18" s="18" t="s">
        <v>81</v>
      </c>
      <c r="I18" s="18">
        <v>3500</v>
      </c>
      <c r="J18" s="18">
        <v>0</v>
      </c>
      <c r="K18" s="20">
        <f t="shared" si="4"/>
        <v>1475</v>
      </c>
      <c r="L18" s="35">
        <v>46323</v>
      </c>
      <c r="M18" s="18" t="s">
        <v>52</v>
      </c>
      <c r="N18" s="22" t="s">
        <v>149</v>
      </c>
      <c r="O18" s="19" t="s">
        <v>83</v>
      </c>
      <c r="P18" s="18" t="s">
        <v>219</v>
      </c>
      <c r="Q18" s="18" t="s">
        <v>193</v>
      </c>
    </row>
    <row r="19" spans="1:17" ht="52.8" x14ac:dyDescent="0.3">
      <c r="A19" s="70"/>
      <c r="B19" s="6">
        <v>11</v>
      </c>
      <c r="C19" s="18" t="s">
        <v>63</v>
      </c>
      <c r="D19" s="17" t="s">
        <v>21</v>
      </c>
      <c r="E19" s="18">
        <v>249</v>
      </c>
      <c r="F19" s="19">
        <v>30</v>
      </c>
      <c r="G19" s="19">
        <f t="shared" si="3"/>
        <v>7470</v>
      </c>
      <c r="H19" s="20" t="s">
        <v>152</v>
      </c>
      <c r="I19" s="18">
        <v>3200</v>
      </c>
      <c r="J19" s="18">
        <v>0</v>
      </c>
      <c r="K19" s="20">
        <f t="shared" ref="K19:K42" si="9">G19-I19-J19</f>
        <v>4270</v>
      </c>
      <c r="L19" s="21">
        <v>46325</v>
      </c>
      <c r="M19" s="18" t="s">
        <v>37</v>
      </c>
      <c r="N19" s="22" t="s">
        <v>42</v>
      </c>
      <c r="O19" s="19" t="s">
        <v>43</v>
      </c>
      <c r="P19" s="18" t="s">
        <v>186</v>
      </c>
      <c r="Q19" s="18" t="s">
        <v>187</v>
      </c>
    </row>
    <row r="20" spans="1:17" ht="26.4" x14ac:dyDescent="0.3">
      <c r="A20" s="70"/>
      <c r="B20" s="6">
        <v>12</v>
      </c>
      <c r="C20" s="18" t="s">
        <v>150</v>
      </c>
      <c r="D20" s="17" t="s">
        <v>19</v>
      </c>
      <c r="E20" s="18">
        <v>249</v>
      </c>
      <c r="F20" s="19">
        <v>20</v>
      </c>
      <c r="G20" s="19">
        <f t="shared" si="3"/>
        <v>4980</v>
      </c>
      <c r="H20" s="20">
        <v>0</v>
      </c>
      <c r="I20" s="18">
        <v>3200</v>
      </c>
      <c r="J20" s="18">
        <v>0</v>
      </c>
      <c r="K20" s="20">
        <f t="shared" si="9"/>
        <v>1780</v>
      </c>
      <c r="L20" s="21">
        <v>46325</v>
      </c>
      <c r="M20" s="18" t="s">
        <v>37</v>
      </c>
      <c r="N20" s="22" t="s">
        <v>207</v>
      </c>
      <c r="O20" s="19" t="s">
        <v>35</v>
      </c>
      <c r="P20" s="18" t="s">
        <v>151</v>
      </c>
      <c r="Q20" s="18" t="s">
        <v>153</v>
      </c>
    </row>
    <row r="21" spans="1:17" ht="26.4" x14ac:dyDescent="0.3">
      <c r="A21" s="70"/>
      <c r="B21" s="72">
        <v>13</v>
      </c>
      <c r="C21" s="71" t="s">
        <v>57</v>
      </c>
      <c r="D21" s="17" t="s">
        <v>55</v>
      </c>
      <c r="E21" s="18">
        <v>99</v>
      </c>
      <c r="F21" s="19">
        <v>20</v>
      </c>
      <c r="G21" s="19">
        <f t="shared" si="3"/>
        <v>1980</v>
      </c>
      <c r="H21" s="20" t="s">
        <v>183</v>
      </c>
      <c r="I21" s="18">
        <v>1700</v>
      </c>
      <c r="J21" s="18">
        <v>0</v>
      </c>
      <c r="K21" s="20">
        <f t="shared" si="9"/>
        <v>280</v>
      </c>
      <c r="L21" s="21">
        <v>46323</v>
      </c>
      <c r="M21" s="21" t="s">
        <v>52</v>
      </c>
      <c r="N21" s="22" t="s">
        <v>47</v>
      </c>
      <c r="O21" s="19" t="s">
        <v>154</v>
      </c>
      <c r="P21" s="71" t="s">
        <v>189</v>
      </c>
      <c r="Q21" s="77" t="s">
        <v>190</v>
      </c>
    </row>
    <row r="22" spans="1:17" ht="26.4" x14ac:dyDescent="0.3">
      <c r="A22" s="70"/>
      <c r="B22" s="72"/>
      <c r="C22" s="71"/>
      <c r="D22" s="17" t="s">
        <v>56</v>
      </c>
      <c r="E22" s="18">
        <v>199</v>
      </c>
      <c r="F22" s="19">
        <v>30</v>
      </c>
      <c r="G22" s="19">
        <f t="shared" si="3"/>
        <v>5970</v>
      </c>
      <c r="H22" s="20" t="s">
        <v>62</v>
      </c>
      <c r="I22" s="18">
        <v>3600</v>
      </c>
      <c r="J22" s="18">
        <v>0</v>
      </c>
      <c r="K22" s="20">
        <f t="shared" si="9"/>
        <v>2370</v>
      </c>
      <c r="L22" s="21">
        <v>46323</v>
      </c>
      <c r="M22" s="21" t="s">
        <v>52</v>
      </c>
      <c r="N22" s="22" t="s">
        <v>47</v>
      </c>
      <c r="O22" s="19" t="s">
        <v>154</v>
      </c>
      <c r="P22" s="71"/>
      <c r="Q22" s="78"/>
    </row>
    <row r="23" spans="1:17" ht="105.6" x14ac:dyDescent="0.3">
      <c r="A23" s="80" t="s">
        <v>75</v>
      </c>
      <c r="B23" s="6">
        <v>14</v>
      </c>
      <c r="C23" s="71" t="s">
        <v>76</v>
      </c>
      <c r="D23" s="17" t="s">
        <v>77</v>
      </c>
      <c r="E23" s="18">
        <v>249</v>
      </c>
      <c r="F23" s="19">
        <v>40</v>
      </c>
      <c r="G23" s="19">
        <f t="shared" si="3"/>
        <v>9960</v>
      </c>
      <c r="H23" s="20" t="s">
        <v>29</v>
      </c>
      <c r="I23" s="18">
        <v>3200</v>
      </c>
      <c r="J23" s="18">
        <v>0</v>
      </c>
      <c r="K23" s="20">
        <f t="shared" si="9"/>
        <v>6760</v>
      </c>
      <c r="L23" s="21">
        <v>46324</v>
      </c>
      <c r="M23" s="18" t="s">
        <v>34</v>
      </c>
      <c r="N23" s="22" t="s">
        <v>47</v>
      </c>
      <c r="O23" s="19" t="s">
        <v>48</v>
      </c>
      <c r="P23" s="18" t="s">
        <v>209</v>
      </c>
      <c r="Q23" s="18" t="s">
        <v>210</v>
      </c>
    </row>
    <row r="24" spans="1:17" ht="105.6" x14ac:dyDescent="0.3">
      <c r="A24" s="81"/>
      <c r="B24" s="6">
        <v>15</v>
      </c>
      <c r="C24" s="71"/>
      <c r="D24" s="17" t="s">
        <v>78</v>
      </c>
      <c r="E24" s="18">
        <v>249</v>
      </c>
      <c r="F24" s="19">
        <v>20</v>
      </c>
      <c r="G24" s="19">
        <f t="shared" si="3"/>
        <v>4980</v>
      </c>
      <c r="H24" s="20" t="s">
        <v>29</v>
      </c>
      <c r="I24" s="18">
        <v>3200</v>
      </c>
      <c r="J24" s="18">
        <v>0</v>
      </c>
      <c r="K24" s="20">
        <f t="shared" si="9"/>
        <v>1780</v>
      </c>
      <c r="L24" s="21">
        <v>46323</v>
      </c>
      <c r="M24" s="21" t="s">
        <v>52</v>
      </c>
      <c r="N24" s="22" t="s">
        <v>47</v>
      </c>
      <c r="O24" s="19" t="s">
        <v>48</v>
      </c>
      <c r="P24" s="18" t="s">
        <v>209</v>
      </c>
      <c r="Q24" s="18" t="s">
        <v>210</v>
      </c>
    </row>
    <row r="25" spans="1:17" ht="26.4" x14ac:dyDescent="0.3">
      <c r="A25" s="81"/>
      <c r="B25" s="6">
        <v>16</v>
      </c>
      <c r="C25" s="18" t="s">
        <v>93</v>
      </c>
      <c r="D25" s="17" t="s">
        <v>79</v>
      </c>
      <c r="E25" s="18">
        <v>149</v>
      </c>
      <c r="F25" s="19">
        <v>30</v>
      </c>
      <c r="G25" s="19">
        <f t="shared" si="3"/>
        <v>4470</v>
      </c>
      <c r="H25" s="18" t="s">
        <v>29</v>
      </c>
      <c r="I25" s="18">
        <v>3200</v>
      </c>
      <c r="J25" s="18">
        <v>0</v>
      </c>
      <c r="K25" s="20">
        <f t="shared" si="9"/>
        <v>1270</v>
      </c>
      <c r="L25" s="21">
        <v>46324</v>
      </c>
      <c r="M25" s="18" t="s">
        <v>34</v>
      </c>
      <c r="N25" s="22" t="s">
        <v>107</v>
      </c>
      <c r="O25" s="20" t="s">
        <v>108</v>
      </c>
      <c r="P25" s="20" t="s">
        <v>122</v>
      </c>
      <c r="Q25" s="20" t="s">
        <v>127</v>
      </c>
    </row>
    <row r="26" spans="1:17" ht="39.6" x14ac:dyDescent="0.3">
      <c r="A26" s="81"/>
      <c r="B26" s="6">
        <v>17</v>
      </c>
      <c r="C26" s="18" t="s">
        <v>93</v>
      </c>
      <c r="D26" s="17" t="s">
        <v>105</v>
      </c>
      <c r="E26" s="18">
        <v>149</v>
      </c>
      <c r="F26" s="19">
        <v>30</v>
      </c>
      <c r="G26" s="19">
        <f t="shared" si="3"/>
        <v>4470</v>
      </c>
      <c r="H26" s="18" t="s">
        <v>29</v>
      </c>
      <c r="I26" s="18">
        <v>3200</v>
      </c>
      <c r="J26" s="18">
        <v>0</v>
      </c>
      <c r="K26" s="20">
        <f t="shared" si="9"/>
        <v>1270</v>
      </c>
      <c r="L26" s="18" t="s">
        <v>109</v>
      </c>
      <c r="M26" s="18" t="s">
        <v>110</v>
      </c>
      <c r="N26" s="22" t="s">
        <v>107</v>
      </c>
      <c r="O26" s="20" t="s">
        <v>111</v>
      </c>
      <c r="P26" s="20" t="s">
        <v>120</v>
      </c>
      <c r="Q26" s="20" t="s">
        <v>128</v>
      </c>
    </row>
    <row r="27" spans="1:17" ht="26.4" x14ac:dyDescent="0.3">
      <c r="A27" s="81"/>
      <c r="B27" s="6">
        <v>18</v>
      </c>
      <c r="C27" s="18" t="s">
        <v>91</v>
      </c>
      <c r="D27" s="17" t="s">
        <v>88</v>
      </c>
      <c r="E27" s="18">
        <v>149</v>
      </c>
      <c r="F27" s="19">
        <v>30</v>
      </c>
      <c r="G27" s="19">
        <f t="shared" si="3"/>
        <v>4470</v>
      </c>
      <c r="H27" s="18" t="s">
        <v>29</v>
      </c>
      <c r="I27" s="18">
        <v>3200</v>
      </c>
      <c r="J27" s="18">
        <v>0</v>
      </c>
      <c r="K27" s="20">
        <f t="shared" si="9"/>
        <v>1270</v>
      </c>
      <c r="L27" s="21">
        <v>46324</v>
      </c>
      <c r="M27" s="18" t="s">
        <v>34</v>
      </c>
      <c r="N27" s="22" t="s">
        <v>107</v>
      </c>
      <c r="O27" s="20" t="s">
        <v>115</v>
      </c>
      <c r="P27" s="20" t="s">
        <v>130</v>
      </c>
      <c r="Q27" s="3" t="s">
        <v>112</v>
      </c>
    </row>
    <row r="28" spans="1:17" ht="26.4" x14ac:dyDescent="0.3">
      <c r="A28" s="81"/>
      <c r="B28" s="6">
        <v>19</v>
      </c>
      <c r="C28" s="18" t="s">
        <v>92</v>
      </c>
      <c r="D28" s="17" t="s">
        <v>106</v>
      </c>
      <c r="E28" s="18">
        <v>149</v>
      </c>
      <c r="F28" s="19">
        <v>30</v>
      </c>
      <c r="G28" s="19">
        <f t="shared" si="3"/>
        <v>4470</v>
      </c>
      <c r="H28" s="18" t="s">
        <v>29</v>
      </c>
      <c r="I28" s="18">
        <v>3200</v>
      </c>
      <c r="J28" s="18">
        <v>0</v>
      </c>
      <c r="K28" s="20">
        <f t="shared" si="9"/>
        <v>1270</v>
      </c>
      <c r="L28" s="21">
        <v>46323</v>
      </c>
      <c r="M28" s="18" t="s">
        <v>52</v>
      </c>
      <c r="N28" s="22" t="s">
        <v>107</v>
      </c>
      <c r="O28" s="20" t="s">
        <v>108</v>
      </c>
      <c r="P28" s="20" t="s">
        <v>121</v>
      </c>
      <c r="Q28" s="20" t="s">
        <v>129</v>
      </c>
    </row>
    <row r="29" spans="1:17" ht="26.4" x14ac:dyDescent="0.3">
      <c r="A29" s="81"/>
      <c r="B29" s="6">
        <v>20</v>
      </c>
      <c r="C29" s="18" t="s">
        <v>94</v>
      </c>
      <c r="D29" s="17" t="s">
        <v>89</v>
      </c>
      <c r="E29" s="18">
        <v>149</v>
      </c>
      <c r="F29" s="19">
        <v>30</v>
      </c>
      <c r="G29" s="19">
        <f t="shared" si="3"/>
        <v>4470</v>
      </c>
      <c r="H29" s="18" t="s">
        <v>29</v>
      </c>
      <c r="I29" s="18">
        <v>3200</v>
      </c>
      <c r="J29" s="18">
        <v>0</v>
      </c>
      <c r="K29" s="20">
        <f t="shared" si="9"/>
        <v>1270</v>
      </c>
      <c r="L29" s="21">
        <v>46325</v>
      </c>
      <c r="M29" s="18" t="s">
        <v>37</v>
      </c>
      <c r="N29" s="22" t="s">
        <v>107</v>
      </c>
      <c r="O29" s="20" t="s">
        <v>113</v>
      </c>
      <c r="P29" s="20" t="s">
        <v>126</v>
      </c>
      <c r="Q29" s="20" t="s">
        <v>132</v>
      </c>
    </row>
    <row r="30" spans="1:17" ht="39.6" x14ac:dyDescent="0.3">
      <c r="A30" s="81"/>
      <c r="B30" s="6">
        <v>21</v>
      </c>
      <c r="C30" s="18" t="s">
        <v>90</v>
      </c>
      <c r="D30" s="17" t="s">
        <v>99</v>
      </c>
      <c r="E30" s="18">
        <v>149</v>
      </c>
      <c r="F30" s="19">
        <v>30</v>
      </c>
      <c r="G30" s="19">
        <f t="shared" si="3"/>
        <v>4470</v>
      </c>
      <c r="H30" s="18" t="s">
        <v>29</v>
      </c>
      <c r="I30" s="18">
        <v>3200</v>
      </c>
      <c r="J30" s="18">
        <v>0</v>
      </c>
      <c r="K30" s="20">
        <f t="shared" si="9"/>
        <v>1270</v>
      </c>
      <c r="L30" s="21">
        <v>46325</v>
      </c>
      <c r="M30" s="18" t="s">
        <v>37</v>
      </c>
      <c r="N30" s="22" t="s">
        <v>107</v>
      </c>
      <c r="O30" s="20" t="s">
        <v>114</v>
      </c>
      <c r="P30" s="20" t="s">
        <v>123</v>
      </c>
      <c r="Q30" s="20" t="s">
        <v>119</v>
      </c>
    </row>
    <row r="31" spans="1:17" ht="29.4" customHeight="1" x14ac:dyDescent="0.3">
      <c r="A31" s="82"/>
      <c r="B31" s="6">
        <v>22</v>
      </c>
      <c r="C31" s="18" t="s">
        <v>116</v>
      </c>
      <c r="D31" s="17" t="s">
        <v>117</v>
      </c>
      <c r="E31" s="18">
        <v>149</v>
      </c>
      <c r="F31" s="19">
        <v>30</v>
      </c>
      <c r="G31" s="19">
        <f t="shared" ref="G31" si="10">E31*F31</f>
        <v>4470</v>
      </c>
      <c r="H31" s="18" t="s">
        <v>29</v>
      </c>
      <c r="I31" s="18">
        <v>3200</v>
      </c>
      <c r="J31" s="18">
        <v>0</v>
      </c>
      <c r="K31" s="20">
        <f t="shared" ref="K31" si="11">G31-I31-J31</f>
        <v>1270</v>
      </c>
      <c r="L31" s="21">
        <v>46324</v>
      </c>
      <c r="M31" s="18" t="s">
        <v>34</v>
      </c>
      <c r="N31" s="22" t="s">
        <v>107</v>
      </c>
      <c r="O31" s="20" t="s">
        <v>118</v>
      </c>
      <c r="P31" s="20" t="s">
        <v>124</v>
      </c>
      <c r="Q31" s="20" t="s">
        <v>125</v>
      </c>
    </row>
    <row r="32" spans="1:17" ht="52.8" x14ac:dyDescent="0.3">
      <c r="A32" s="70" t="s">
        <v>31</v>
      </c>
      <c r="B32" s="6">
        <v>23</v>
      </c>
      <c r="C32" s="18" t="s">
        <v>98</v>
      </c>
      <c r="D32" s="31" t="s">
        <v>22</v>
      </c>
      <c r="E32" s="18">
        <v>1600</v>
      </c>
      <c r="F32" s="19">
        <v>24</v>
      </c>
      <c r="G32" s="19">
        <f t="shared" si="3"/>
        <v>38400</v>
      </c>
      <c r="H32" s="20" t="s">
        <v>155</v>
      </c>
      <c r="I32" s="18">
        <v>20000</v>
      </c>
      <c r="J32" s="18">
        <v>6000</v>
      </c>
      <c r="K32" s="20">
        <f t="shared" si="9"/>
        <v>12400</v>
      </c>
      <c r="L32" s="21">
        <v>46318</v>
      </c>
      <c r="M32" s="21" t="s">
        <v>37</v>
      </c>
      <c r="N32" s="19" t="s">
        <v>74</v>
      </c>
      <c r="O32" s="18" t="s">
        <v>72</v>
      </c>
      <c r="P32" s="24" t="s">
        <v>157</v>
      </c>
      <c r="Q32" s="24" t="s">
        <v>156</v>
      </c>
    </row>
    <row r="33" spans="1:17" ht="52.8" x14ac:dyDescent="0.3">
      <c r="A33" s="70"/>
      <c r="B33" s="6">
        <v>24</v>
      </c>
      <c r="C33" s="18" t="s">
        <v>98</v>
      </c>
      <c r="D33" s="31" t="s">
        <v>158</v>
      </c>
      <c r="E33" s="18">
        <v>700</v>
      </c>
      <c r="F33" s="19">
        <v>24</v>
      </c>
      <c r="G33" s="19">
        <f t="shared" si="3"/>
        <v>16800</v>
      </c>
      <c r="H33" s="20" t="s">
        <v>159</v>
      </c>
      <c r="I33" s="18">
        <v>10000</v>
      </c>
      <c r="J33" s="18">
        <v>5200</v>
      </c>
      <c r="K33" s="20">
        <f t="shared" si="9"/>
        <v>1600</v>
      </c>
      <c r="L33" s="21" t="s">
        <v>160</v>
      </c>
      <c r="M33" s="21" t="s">
        <v>161</v>
      </c>
      <c r="N33" s="19" t="s">
        <v>74</v>
      </c>
      <c r="O33" s="18" t="s">
        <v>72</v>
      </c>
      <c r="P33" s="24" t="s">
        <v>157</v>
      </c>
      <c r="Q33" s="24" t="s">
        <v>162</v>
      </c>
    </row>
    <row r="34" spans="1:17" ht="26.4" customHeight="1" x14ac:dyDescent="0.3">
      <c r="A34" s="70"/>
      <c r="B34" s="6">
        <v>25</v>
      </c>
      <c r="C34" s="18" t="s">
        <v>98</v>
      </c>
      <c r="D34" s="31" t="s">
        <v>49</v>
      </c>
      <c r="E34" s="18">
        <v>300</v>
      </c>
      <c r="F34" s="19">
        <v>40</v>
      </c>
      <c r="G34" s="19">
        <f>E34*F34</f>
        <v>12000</v>
      </c>
      <c r="H34" s="20" t="s">
        <v>65</v>
      </c>
      <c r="I34" s="18">
        <v>4500</v>
      </c>
      <c r="J34" s="18">
        <v>3500</v>
      </c>
      <c r="K34" s="20">
        <f>G34-I34-J34</f>
        <v>4000</v>
      </c>
      <c r="L34" s="84" t="s">
        <v>165</v>
      </c>
      <c r="M34" s="84" t="s">
        <v>166</v>
      </c>
      <c r="N34" s="85" t="s">
        <v>74</v>
      </c>
      <c r="O34" s="71" t="s">
        <v>73</v>
      </c>
      <c r="P34" s="79" t="s">
        <v>157</v>
      </c>
      <c r="Q34" s="79" t="s">
        <v>167</v>
      </c>
    </row>
    <row r="35" spans="1:17" ht="26.4" x14ac:dyDescent="0.3">
      <c r="A35" s="70"/>
      <c r="B35" s="6">
        <v>26</v>
      </c>
      <c r="C35" s="18" t="s">
        <v>98</v>
      </c>
      <c r="D35" s="31" t="s">
        <v>50</v>
      </c>
      <c r="E35" s="18">
        <v>400</v>
      </c>
      <c r="F35" s="19">
        <v>20</v>
      </c>
      <c r="G35" s="19">
        <f>E35*F35</f>
        <v>8000</v>
      </c>
      <c r="H35" s="20" t="s">
        <v>163</v>
      </c>
      <c r="I35" s="18">
        <v>3700</v>
      </c>
      <c r="J35" s="18">
        <v>3500</v>
      </c>
      <c r="K35" s="20">
        <f>G35-I35-J35</f>
        <v>800</v>
      </c>
      <c r="L35" s="84"/>
      <c r="M35" s="84"/>
      <c r="N35" s="85"/>
      <c r="O35" s="71"/>
      <c r="P35" s="79"/>
      <c r="Q35" s="79"/>
    </row>
    <row r="36" spans="1:17" ht="26.4" x14ac:dyDescent="0.3">
      <c r="A36" s="70"/>
      <c r="B36" s="6">
        <v>27</v>
      </c>
      <c r="C36" s="18" t="s">
        <v>98</v>
      </c>
      <c r="D36" s="31" t="s">
        <v>51</v>
      </c>
      <c r="E36" s="18">
        <v>200</v>
      </c>
      <c r="F36" s="19">
        <v>20</v>
      </c>
      <c r="G36" s="19">
        <f>E36*F36</f>
        <v>4000</v>
      </c>
      <c r="H36" s="20" t="s">
        <v>164</v>
      </c>
      <c r="I36" s="18">
        <v>3200</v>
      </c>
      <c r="J36" s="18">
        <v>500</v>
      </c>
      <c r="K36" s="20">
        <f>G36-I36-J36</f>
        <v>300</v>
      </c>
      <c r="L36" s="84"/>
      <c r="M36" s="84"/>
      <c r="N36" s="85"/>
      <c r="O36" s="71"/>
      <c r="P36" s="79"/>
      <c r="Q36" s="79"/>
    </row>
    <row r="37" spans="1:17" ht="52.8" x14ac:dyDescent="0.3">
      <c r="A37" s="70"/>
      <c r="B37" s="6">
        <v>28</v>
      </c>
      <c r="C37" s="18" t="s">
        <v>98</v>
      </c>
      <c r="D37" s="31" t="s">
        <v>67</v>
      </c>
      <c r="E37" s="18">
        <v>700</v>
      </c>
      <c r="F37" s="19">
        <v>16</v>
      </c>
      <c r="G37" s="19">
        <f>E37*F37</f>
        <v>11200</v>
      </c>
      <c r="H37" s="20" t="s">
        <v>66</v>
      </c>
      <c r="I37" s="18">
        <v>6000</v>
      </c>
      <c r="J37" s="18">
        <v>2000</v>
      </c>
      <c r="K37" s="20">
        <f>G37-I37-J37</f>
        <v>3200</v>
      </c>
      <c r="L37" s="21" t="s">
        <v>168</v>
      </c>
      <c r="M37" s="21" t="s">
        <v>169</v>
      </c>
      <c r="N37" s="19" t="s">
        <v>74</v>
      </c>
      <c r="O37" s="18" t="s">
        <v>38</v>
      </c>
      <c r="P37" s="24" t="s">
        <v>157</v>
      </c>
      <c r="Q37" s="24" t="s">
        <v>170</v>
      </c>
    </row>
    <row r="38" spans="1:17" ht="79.2" x14ac:dyDescent="0.3">
      <c r="A38" s="70"/>
      <c r="B38" s="6">
        <v>29</v>
      </c>
      <c r="C38" s="18" t="s">
        <v>98</v>
      </c>
      <c r="D38" s="31" t="s">
        <v>10</v>
      </c>
      <c r="E38" s="18">
        <v>700</v>
      </c>
      <c r="F38" s="18">
        <v>16</v>
      </c>
      <c r="G38" s="19">
        <f t="shared" si="3"/>
        <v>11200</v>
      </c>
      <c r="H38" s="20" t="s">
        <v>66</v>
      </c>
      <c r="I38" s="18">
        <v>6000</v>
      </c>
      <c r="J38" s="18">
        <v>2000</v>
      </c>
      <c r="K38" s="20">
        <f t="shared" si="9"/>
        <v>3200</v>
      </c>
      <c r="L38" s="21" t="s">
        <v>171</v>
      </c>
      <c r="M38" s="21" t="s">
        <v>161</v>
      </c>
      <c r="N38" s="19" t="s">
        <v>74</v>
      </c>
      <c r="O38" s="18" t="s">
        <v>72</v>
      </c>
      <c r="P38" s="24" t="s">
        <v>157</v>
      </c>
      <c r="Q38" s="24" t="s">
        <v>172</v>
      </c>
    </row>
    <row r="39" spans="1:17" ht="52.8" x14ac:dyDescent="0.3">
      <c r="A39" s="70"/>
      <c r="B39" s="6">
        <v>30</v>
      </c>
      <c r="C39" s="18" t="s">
        <v>98</v>
      </c>
      <c r="D39" s="31" t="s">
        <v>23</v>
      </c>
      <c r="E39" s="18">
        <v>200</v>
      </c>
      <c r="F39" s="19">
        <v>25</v>
      </c>
      <c r="G39" s="19">
        <f t="shared" si="3"/>
        <v>5000</v>
      </c>
      <c r="H39" s="20" t="s">
        <v>173</v>
      </c>
      <c r="I39" s="18">
        <v>1600</v>
      </c>
      <c r="J39" s="18">
        <v>0</v>
      </c>
      <c r="K39" s="20">
        <f t="shared" si="9"/>
        <v>3400</v>
      </c>
      <c r="L39" s="21">
        <v>46318</v>
      </c>
      <c r="M39" s="21" t="s">
        <v>37</v>
      </c>
      <c r="N39" s="19" t="s">
        <v>74</v>
      </c>
      <c r="O39" s="18" t="s">
        <v>73</v>
      </c>
      <c r="P39" s="24" t="s">
        <v>157</v>
      </c>
      <c r="Q39" s="24" t="s">
        <v>174</v>
      </c>
    </row>
    <row r="40" spans="1:17" ht="52.8" x14ac:dyDescent="0.3">
      <c r="A40" s="70"/>
      <c r="B40" s="6">
        <v>31</v>
      </c>
      <c r="C40" s="18" t="s">
        <v>98</v>
      </c>
      <c r="D40" s="31" t="s">
        <v>11</v>
      </c>
      <c r="E40" s="18">
        <v>200</v>
      </c>
      <c r="F40" s="19">
        <v>20</v>
      </c>
      <c r="G40" s="19">
        <f t="shared" si="3"/>
        <v>4000</v>
      </c>
      <c r="H40" s="20" t="s">
        <v>173</v>
      </c>
      <c r="I40" s="18">
        <v>1600</v>
      </c>
      <c r="J40" s="18">
        <v>0</v>
      </c>
      <c r="K40" s="20">
        <f t="shared" si="9"/>
        <v>2400</v>
      </c>
      <c r="L40" s="21">
        <v>46319</v>
      </c>
      <c r="M40" s="21" t="s">
        <v>71</v>
      </c>
      <c r="N40" s="19" t="s">
        <v>74</v>
      </c>
      <c r="O40" s="18" t="s">
        <v>73</v>
      </c>
      <c r="P40" s="24" t="s">
        <v>157</v>
      </c>
      <c r="Q40" s="24" t="s">
        <v>175</v>
      </c>
    </row>
    <row r="41" spans="1:17" ht="52.8" x14ac:dyDescent="0.3">
      <c r="A41" s="70"/>
      <c r="B41" s="6">
        <v>32</v>
      </c>
      <c r="C41" s="18" t="s">
        <v>98</v>
      </c>
      <c r="D41" s="31" t="s">
        <v>24</v>
      </c>
      <c r="E41" s="18">
        <v>250</v>
      </c>
      <c r="F41" s="19">
        <v>15</v>
      </c>
      <c r="G41" s="19">
        <f t="shared" si="3"/>
        <v>3750</v>
      </c>
      <c r="H41" s="20" t="s">
        <v>176</v>
      </c>
      <c r="I41" s="18">
        <v>2500</v>
      </c>
      <c r="J41" s="18">
        <v>0</v>
      </c>
      <c r="K41" s="20">
        <f t="shared" si="9"/>
        <v>1250</v>
      </c>
      <c r="L41" s="21">
        <v>46320</v>
      </c>
      <c r="M41" s="21" t="s">
        <v>177</v>
      </c>
      <c r="N41" s="19" t="s">
        <v>74</v>
      </c>
      <c r="O41" s="18" t="s">
        <v>73</v>
      </c>
      <c r="P41" s="24" t="s">
        <v>157</v>
      </c>
      <c r="Q41" s="24" t="s">
        <v>178</v>
      </c>
    </row>
    <row r="42" spans="1:17" ht="52.8" x14ac:dyDescent="0.3">
      <c r="A42" s="70"/>
      <c r="B42" s="6">
        <v>33</v>
      </c>
      <c r="C42" s="18" t="s">
        <v>98</v>
      </c>
      <c r="D42" s="31" t="s">
        <v>28</v>
      </c>
      <c r="E42" s="18">
        <v>300</v>
      </c>
      <c r="F42" s="19">
        <v>25</v>
      </c>
      <c r="G42" s="19">
        <f t="shared" si="3"/>
        <v>7500</v>
      </c>
      <c r="H42" s="20" t="s">
        <v>68</v>
      </c>
      <c r="I42" s="18">
        <v>3000</v>
      </c>
      <c r="J42" s="18">
        <v>800</v>
      </c>
      <c r="K42" s="20">
        <f t="shared" si="9"/>
        <v>3700</v>
      </c>
      <c r="L42" s="21">
        <v>46321</v>
      </c>
      <c r="M42" s="21" t="s">
        <v>179</v>
      </c>
      <c r="N42" s="19" t="s">
        <v>74</v>
      </c>
      <c r="O42" s="18" t="s">
        <v>73</v>
      </c>
      <c r="P42" s="24" t="s">
        <v>157</v>
      </c>
      <c r="Q42" s="24" t="s">
        <v>180</v>
      </c>
    </row>
    <row r="43" spans="1:17" ht="52.8" x14ac:dyDescent="0.3">
      <c r="A43" s="70"/>
      <c r="B43" s="6">
        <v>34</v>
      </c>
      <c r="C43" s="18" t="s">
        <v>98</v>
      </c>
      <c r="D43" s="31" t="s">
        <v>69</v>
      </c>
      <c r="E43" s="18">
        <v>150</v>
      </c>
      <c r="F43" s="19">
        <v>20</v>
      </c>
      <c r="G43" s="19">
        <f t="shared" si="3"/>
        <v>3000</v>
      </c>
      <c r="H43" s="20" t="s">
        <v>70</v>
      </c>
      <c r="I43" s="18">
        <v>1800</v>
      </c>
      <c r="J43" s="18">
        <v>0</v>
      </c>
      <c r="K43" s="20">
        <f t="shared" ref="K43" si="12">G43-I43-J43</f>
        <v>1200</v>
      </c>
      <c r="L43" s="21">
        <v>46322</v>
      </c>
      <c r="M43" s="21" t="s">
        <v>181</v>
      </c>
      <c r="N43" s="19" t="s">
        <v>74</v>
      </c>
      <c r="O43" s="18" t="s">
        <v>73</v>
      </c>
      <c r="P43" s="33" t="s">
        <v>157</v>
      </c>
      <c r="Q43" s="33" t="s">
        <v>182</v>
      </c>
    </row>
    <row r="44" spans="1:17" x14ac:dyDescent="0.3">
      <c r="A44" s="8"/>
      <c r="B44" s="6"/>
      <c r="C44" s="8"/>
      <c r="D44" s="11"/>
      <c r="E44" s="9"/>
      <c r="F44" s="9"/>
      <c r="G44" s="9">
        <f>SUM(G2:G43)</f>
        <v>493301</v>
      </c>
      <c r="H44" s="9"/>
      <c r="I44" s="9">
        <f>SUM(I2:I43)</f>
        <v>172500</v>
      </c>
      <c r="J44" s="9"/>
      <c r="K44" s="9">
        <f>SUM(K2:K43)</f>
        <v>297301</v>
      </c>
      <c r="L44" s="8"/>
      <c r="M44" s="8"/>
      <c r="N44" s="9"/>
      <c r="O44" s="9"/>
      <c r="P44" s="9"/>
      <c r="Q44" s="9"/>
    </row>
    <row r="47" spans="1:17" x14ac:dyDescent="0.3">
      <c r="A47" s="10"/>
      <c r="B47" s="15"/>
      <c r="C47" s="10"/>
      <c r="D47" s="16"/>
      <c r="L47" s="10"/>
      <c r="M47" s="10"/>
    </row>
    <row r="48" spans="1:17" x14ac:dyDescent="0.3">
      <c r="A48" s="10"/>
      <c r="B48" s="15"/>
      <c r="C48" s="10"/>
      <c r="D48" s="16"/>
      <c r="L48" s="10"/>
      <c r="M48" s="10"/>
    </row>
  </sheetData>
  <mergeCells count="32">
    <mergeCell ref="Q34:Q36"/>
    <mergeCell ref="A23:A31"/>
    <mergeCell ref="P11:P12"/>
    <mergeCell ref="A2:A15"/>
    <mergeCell ref="B9:B12"/>
    <mergeCell ref="L34:L36"/>
    <mergeCell ref="M34:M36"/>
    <mergeCell ref="N34:N36"/>
    <mergeCell ref="O34:O36"/>
    <mergeCell ref="P34:P36"/>
    <mergeCell ref="O6:O7"/>
    <mergeCell ref="C6:C7"/>
    <mergeCell ref="Q6:Q7"/>
    <mergeCell ref="B6:B7"/>
    <mergeCell ref="P2:P5"/>
    <mergeCell ref="Q2:Q5"/>
    <mergeCell ref="P21:P22"/>
    <mergeCell ref="B2:B5"/>
    <mergeCell ref="N2:N3"/>
    <mergeCell ref="O2:O3"/>
    <mergeCell ref="C2:C5"/>
    <mergeCell ref="N4:N5"/>
    <mergeCell ref="O4:O5"/>
    <mergeCell ref="N11:N12"/>
    <mergeCell ref="O11:O12"/>
    <mergeCell ref="P6:P7"/>
    <mergeCell ref="Q21:Q22"/>
    <mergeCell ref="A32:A43"/>
    <mergeCell ref="C21:C22"/>
    <mergeCell ref="C23:C24"/>
    <mergeCell ref="A16:A22"/>
    <mergeCell ref="B21:B22"/>
  </mergeCells>
  <phoneticPr fontId="6" type="noConversion"/>
  <pageMargins left="0.25" right="0.25" top="0.75" bottom="0.75" header="0.3" footer="0.3"/>
  <pageSetup paperSize="9" scale="37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839B-C936-4BD5-AF66-0ABC2A748215}">
  <dimension ref="A1:O49"/>
  <sheetViews>
    <sheetView topLeftCell="B1" workbookViewId="0">
      <selection activeCell="J39" sqref="J39"/>
    </sheetView>
  </sheetViews>
  <sheetFormatPr defaultRowHeight="13.2" x14ac:dyDescent="0.3"/>
  <cols>
    <col min="1" max="1" width="22.109375" style="48" hidden="1" customWidth="1"/>
    <col min="2" max="2" width="35.5546875" style="49" customWidth="1"/>
    <col min="3" max="3" width="11" style="45" hidden="1" customWidth="1"/>
    <col min="4" max="4" width="11.109375" style="45" hidden="1" customWidth="1"/>
    <col min="5" max="5" width="8.33203125" style="45" hidden="1" customWidth="1"/>
    <col min="6" max="6" width="22.6640625" style="45" hidden="1" customWidth="1"/>
    <col min="7" max="7" width="10.109375" style="45" hidden="1" customWidth="1"/>
    <col min="8" max="8" width="14.5546875" style="45" hidden="1" customWidth="1"/>
    <col min="9" max="9" width="8.33203125" style="45" hidden="1" customWidth="1"/>
    <col min="10" max="10" width="18.33203125" style="48" bestFit="1" customWidth="1"/>
    <col min="11" max="11" width="14.33203125" style="48" bestFit="1" customWidth="1"/>
    <col min="12" max="12" width="19.33203125" style="45" bestFit="1" customWidth="1"/>
    <col min="13" max="13" width="21.109375" style="45" bestFit="1" customWidth="1"/>
    <col min="14" max="14" width="23.6640625" style="45" customWidth="1"/>
    <col min="15" max="15" width="36.6640625" style="45" customWidth="1"/>
    <col min="16" max="16384" width="8.88671875" style="45"/>
  </cols>
  <sheetData>
    <row r="1" spans="1:15" s="37" customFormat="1" ht="26.4" x14ac:dyDescent="0.3">
      <c r="A1" s="36" t="s">
        <v>97</v>
      </c>
      <c r="B1" s="36" t="s">
        <v>0</v>
      </c>
      <c r="C1" s="36" t="s">
        <v>1</v>
      </c>
      <c r="D1" s="36" t="s">
        <v>12</v>
      </c>
      <c r="E1" s="36" t="s">
        <v>13</v>
      </c>
      <c r="F1" s="36" t="s">
        <v>3</v>
      </c>
      <c r="G1" s="36" t="s">
        <v>2</v>
      </c>
      <c r="H1" s="36" t="s">
        <v>64</v>
      </c>
      <c r="I1" s="36" t="s">
        <v>53</v>
      </c>
      <c r="J1" s="36" t="s">
        <v>4</v>
      </c>
      <c r="K1" s="36" t="s">
        <v>33</v>
      </c>
      <c r="L1" s="36" t="s">
        <v>5</v>
      </c>
      <c r="M1" s="36" t="s">
        <v>6</v>
      </c>
      <c r="N1" s="36" t="s">
        <v>7</v>
      </c>
      <c r="O1" s="36" t="s">
        <v>8</v>
      </c>
    </row>
    <row r="2" spans="1:15" s="57" customFormat="1" ht="79.2" x14ac:dyDescent="0.3">
      <c r="A2" s="50" t="s">
        <v>60</v>
      </c>
      <c r="B2" s="51" t="s">
        <v>45</v>
      </c>
      <c r="C2" s="52">
        <v>199</v>
      </c>
      <c r="D2" s="53">
        <v>100</v>
      </c>
      <c r="E2" s="53">
        <f t="shared" ref="E2:E11" si="0">C2*D2</f>
        <v>19900</v>
      </c>
      <c r="F2" s="52">
        <v>0</v>
      </c>
      <c r="G2" s="52">
        <v>0</v>
      </c>
      <c r="H2" s="52">
        <v>0</v>
      </c>
      <c r="I2" s="54">
        <f t="shared" ref="I2:I11" si="1">E2-G2-H2</f>
        <v>19900</v>
      </c>
      <c r="J2" s="55">
        <v>46298</v>
      </c>
      <c r="K2" s="52" t="s">
        <v>71</v>
      </c>
      <c r="L2" s="56" t="s">
        <v>135</v>
      </c>
      <c r="M2" s="53" t="s">
        <v>35</v>
      </c>
      <c r="N2" s="52" t="s">
        <v>201</v>
      </c>
      <c r="O2" s="52"/>
    </row>
    <row r="3" spans="1:15" s="57" customFormat="1" ht="52.8" x14ac:dyDescent="0.3">
      <c r="A3" s="50" t="s">
        <v>142</v>
      </c>
      <c r="B3" s="51" t="s">
        <v>136</v>
      </c>
      <c r="C3" s="52">
        <v>99</v>
      </c>
      <c r="D3" s="53">
        <v>50</v>
      </c>
      <c r="E3" s="53">
        <f t="shared" si="0"/>
        <v>4950</v>
      </c>
      <c r="F3" s="54">
        <v>0</v>
      </c>
      <c r="G3" s="54">
        <v>0</v>
      </c>
      <c r="H3" s="54">
        <v>0</v>
      </c>
      <c r="I3" s="54">
        <f t="shared" si="1"/>
        <v>4950</v>
      </c>
      <c r="J3" s="58">
        <v>46310</v>
      </c>
      <c r="K3" s="52" t="s">
        <v>34</v>
      </c>
      <c r="L3" s="54" t="s">
        <v>135</v>
      </c>
      <c r="M3" s="50" t="s">
        <v>35</v>
      </c>
      <c r="N3" s="54" t="s">
        <v>204</v>
      </c>
      <c r="O3" s="62" t="s">
        <v>211</v>
      </c>
    </row>
    <row r="4" spans="1:15" s="60" customFormat="1" ht="52.8" x14ac:dyDescent="0.3">
      <c r="A4" s="50" t="s">
        <v>141</v>
      </c>
      <c r="B4" s="51" t="s">
        <v>133</v>
      </c>
      <c r="C4" s="52">
        <v>99</v>
      </c>
      <c r="D4" s="53">
        <v>50</v>
      </c>
      <c r="E4" s="53">
        <f t="shared" si="0"/>
        <v>4950</v>
      </c>
      <c r="F4" s="54">
        <v>0</v>
      </c>
      <c r="G4" s="54">
        <v>0</v>
      </c>
      <c r="H4" s="54">
        <v>0</v>
      </c>
      <c r="I4" s="54">
        <f t="shared" si="1"/>
        <v>4950</v>
      </c>
      <c r="J4" s="58">
        <v>46311</v>
      </c>
      <c r="K4" s="58" t="s">
        <v>37</v>
      </c>
      <c r="L4" s="50" t="s">
        <v>135</v>
      </c>
      <c r="M4" s="50" t="s">
        <v>35</v>
      </c>
      <c r="N4" s="54" t="s">
        <v>199</v>
      </c>
      <c r="O4" s="54" t="s">
        <v>131</v>
      </c>
    </row>
    <row r="5" spans="1:15" s="60" customFormat="1" ht="52.8" x14ac:dyDescent="0.3">
      <c r="A5" s="50"/>
      <c r="B5" s="51" t="s">
        <v>134</v>
      </c>
      <c r="C5" s="52">
        <v>199</v>
      </c>
      <c r="D5" s="53">
        <v>30</v>
      </c>
      <c r="E5" s="53">
        <f t="shared" si="0"/>
        <v>5970</v>
      </c>
      <c r="F5" s="54">
        <v>0</v>
      </c>
      <c r="G5" s="54">
        <v>0</v>
      </c>
      <c r="H5" s="54">
        <v>0</v>
      </c>
      <c r="I5" s="54">
        <f t="shared" si="1"/>
        <v>5970</v>
      </c>
      <c r="J5" s="58">
        <v>46311</v>
      </c>
      <c r="K5" s="58" t="s">
        <v>37</v>
      </c>
      <c r="L5" s="50" t="s">
        <v>135</v>
      </c>
      <c r="M5" s="50" t="s">
        <v>35</v>
      </c>
      <c r="N5" s="54" t="s">
        <v>199</v>
      </c>
      <c r="O5" s="54" t="s">
        <v>131</v>
      </c>
    </row>
    <row r="6" spans="1:15" s="60" customFormat="1" ht="52.8" x14ac:dyDescent="0.3">
      <c r="A6" s="50" t="s">
        <v>98</v>
      </c>
      <c r="B6" s="61" t="s">
        <v>22</v>
      </c>
      <c r="C6" s="52">
        <v>1600</v>
      </c>
      <c r="D6" s="53">
        <v>24</v>
      </c>
      <c r="E6" s="53">
        <f t="shared" si="0"/>
        <v>38400</v>
      </c>
      <c r="F6" s="54" t="s">
        <v>155</v>
      </c>
      <c r="G6" s="52">
        <v>20000</v>
      </c>
      <c r="H6" s="52">
        <v>6000</v>
      </c>
      <c r="I6" s="54">
        <f t="shared" si="1"/>
        <v>12400</v>
      </c>
      <c r="J6" s="55">
        <v>46318</v>
      </c>
      <c r="K6" s="55" t="s">
        <v>37</v>
      </c>
      <c r="L6" s="53" t="s">
        <v>74</v>
      </c>
      <c r="M6" s="52" t="s">
        <v>72</v>
      </c>
      <c r="N6" s="62" t="s">
        <v>157</v>
      </c>
      <c r="O6" s="62" t="s">
        <v>156</v>
      </c>
    </row>
    <row r="7" spans="1:15" s="60" customFormat="1" ht="52.8" x14ac:dyDescent="0.3">
      <c r="A7" s="50" t="s">
        <v>98</v>
      </c>
      <c r="B7" s="61" t="s">
        <v>23</v>
      </c>
      <c r="C7" s="52">
        <v>200</v>
      </c>
      <c r="D7" s="53">
        <v>25</v>
      </c>
      <c r="E7" s="53">
        <f t="shared" si="0"/>
        <v>5000</v>
      </c>
      <c r="F7" s="54" t="s">
        <v>173</v>
      </c>
      <c r="G7" s="52">
        <v>1600</v>
      </c>
      <c r="H7" s="52">
        <v>0</v>
      </c>
      <c r="I7" s="54">
        <f t="shared" si="1"/>
        <v>3400</v>
      </c>
      <c r="J7" s="55">
        <v>46318</v>
      </c>
      <c r="K7" s="55" t="s">
        <v>37</v>
      </c>
      <c r="L7" s="53" t="s">
        <v>74</v>
      </c>
      <c r="M7" s="52" t="s">
        <v>73</v>
      </c>
      <c r="N7" s="62" t="s">
        <v>157</v>
      </c>
      <c r="O7" s="62" t="s">
        <v>174</v>
      </c>
    </row>
    <row r="8" spans="1:15" s="60" customFormat="1" ht="73.2" customHeight="1" x14ac:dyDescent="0.3">
      <c r="A8" s="50" t="s">
        <v>98</v>
      </c>
      <c r="B8" s="61" t="s">
        <v>11</v>
      </c>
      <c r="C8" s="52">
        <v>200</v>
      </c>
      <c r="D8" s="53">
        <v>20</v>
      </c>
      <c r="E8" s="53">
        <f t="shared" si="0"/>
        <v>4000</v>
      </c>
      <c r="F8" s="54" t="s">
        <v>173</v>
      </c>
      <c r="G8" s="52">
        <v>1600</v>
      </c>
      <c r="H8" s="52">
        <v>0</v>
      </c>
      <c r="I8" s="54">
        <f t="shared" si="1"/>
        <v>2400</v>
      </c>
      <c r="J8" s="55">
        <v>46319</v>
      </c>
      <c r="K8" s="55" t="s">
        <v>71</v>
      </c>
      <c r="L8" s="53" t="s">
        <v>74</v>
      </c>
      <c r="M8" s="52" t="s">
        <v>73</v>
      </c>
      <c r="N8" s="62" t="s">
        <v>157</v>
      </c>
      <c r="O8" s="62" t="s">
        <v>175</v>
      </c>
    </row>
    <row r="9" spans="1:15" s="60" customFormat="1" ht="52.8" x14ac:dyDescent="0.3">
      <c r="A9" s="50" t="s">
        <v>98</v>
      </c>
      <c r="B9" s="61" t="s">
        <v>24</v>
      </c>
      <c r="C9" s="52">
        <v>250</v>
      </c>
      <c r="D9" s="53">
        <v>15</v>
      </c>
      <c r="E9" s="53">
        <f t="shared" si="0"/>
        <v>3750</v>
      </c>
      <c r="F9" s="54" t="s">
        <v>176</v>
      </c>
      <c r="G9" s="52">
        <v>2500</v>
      </c>
      <c r="H9" s="52">
        <v>0</v>
      </c>
      <c r="I9" s="54">
        <f t="shared" si="1"/>
        <v>1250</v>
      </c>
      <c r="J9" s="55">
        <v>46320</v>
      </c>
      <c r="K9" s="55" t="s">
        <v>177</v>
      </c>
      <c r="L9" s="53" t="s">
        <v>74</v>
      </c>
      <c r="M9" s="52" t="s">
        <v>73</v>
      </c>
      <c r="N9" s="62" t="s">
        <v>157</v>
      </c>
      <c r="O9" s="62" t="s">
        <v>178</v>
      </c>
    </row>
    <row r="10" spans="1:15" s="63" customFormat="1" ht="52.8" x14ac:dyDescent="0.3">
      <c r="A10" s="50" t="s">
        <v>98</v>
      </c>
      <c r="B10" s="61" t="s">
        <v>28</v>
      </c>
      <c r="C10" s="52">
        <v>300</v>
      </c>
      <c r="D10" s="53">
        <v>25</v>
      </c>
      <c r="E10" s="53">
        <f t="shared" si="0"/>
        <v>7500</v>
      </c>
      <c r="F10" s="54" t="s">
        <v>68</v>
      </c>
      <c r="G10" s="52">
        <v>3000</v>
      </c>
      <c r="H10" s="52">
        <v>800</v>
      </c>
      <c r="I10" s="54">
        <f t="shared" si="1"/>
        <v>3700</v>
      </c>
      <c r="J10" s="55">
        <v>46321</v>
      </c>
      <c r="K10" s="55" t="s">
        <v>179</v>
      </c>
      <c r="L10" s="53" t="s">
        <v>74</v>
      </c>
      <c r="M10" s="52" t="s">
        <v>73</v>
      </c>
      <c r="N10" s="62" t="s">
        <v>157</v>
      </c>
      <c r="O10" s="62" t="s">
        <v>180</v>
      </c>
    </row>
    <row r="11" spans="1:15" s="63" customFormat="1" ht="35.4" customHeight="1" x14ac:dyDescent="0.3">
      <c r="A11" s="50" t="s">
        <v>98</v>
      </c>
      <c r="B11" s="61" t="s">
        <v>69</v>
      </c>
      <c r="C11" s="52">
        <v>150</v>
      </c>
      <c r="D11" s="53">
        <v>20</v>
      </c>
      <c r="E11" s="53">
        <f t="shared" si="0"/>
        <v>3000</v>
      </c>
      <c r="F11" s="54" t="s">
        <v>70</v>
      </c>
      <c r="G11" s="52">
        <v>1800</v>
      </c>
      <c r="H11" s="52">
        <v>0</v>
      </c>
      <c r="I11" s="54">
        <f t="shared" si="1"/>
        <v>1200</v>
      </c>
      <c r="J11" s="55">
        <v>46322</v>
      </c>
      <c r="K11" s="55" t="s">
        <v>181</v>
      </c>
      <c r="L11" s="53" t="s">
        <v>74</v>
      </c>
      <c r="M11" s="52" t="s">
        <v>73</v>
      </c>
      <c r="N11" s="64" t="s">
        <v>157</v>
      </c>
      <c r="O11" s="64" t="s">
        <v>182</v>
      </c>
    </row>
    <row r="12" spans="1:15" s="63" customFormat="1" ht="39.6" x14ac:dyDescent="0.3">
      <c r="A12" s="50" t="s">
        <v>142</v>
      </c>
      <c r="B12" s="61" t="s">
        <v>196</v>
      </c>
      <c r="C12" s="52">
        <v>0</v>
      </c>
      <c r="D12" s="53">
        <v>0</v>
      </c>
      <c r="E12" s="53">
        <v>0</v>
      </c>
      <c r="F12" s="54">
        <v>0</v>
      </c>
      <c r="G12" s="52">
        <v>0</v>
      </c>
      <c r="H12" s="52">
        <v>0</v>
      </c>
      <c r="I12" s="54">
        <v>0</v>
      </c>
      <c r="J12" s="58">
        <v>46323</v>
      </c>
      <c r="K12" s="58" t="s">
        <v>52</v>
      </c>
      <c r="L12" s="53" t="s">
        <v>197</v>
      </c>
      <c r="M12" s="50" t="s">
        <v>35</v>
      </c>
      <c r="N12" s="54" t="s">
        <v>184</v>
      </c>
      <c r="O12" s="64"/>
    </row>
    <row r="13" spans="1:15" s="60" customFormat="1" ht="52.8" x14ac:dyDescent="0.3">
      <c r="A13" s="50" t="s">
        <v>142</v>
      </c>
      <c r="B13" s="51" t="s">
        <v>14</v>
      </c>
      <c r="C13" s="52">
        <v>249</v>
      </c>
      <c r="D13" s="53">
        <v>30</v>
      </c>
      <c r="E13" s="53">
        <f t="shared" ref="E13:E36" si="2">C13*D13</f>
        <v>7470</v>
      </c>
      <c r="F13" s="54" t="s">
        <v>25</v>
      </c>
      <c r="G13" s="54">
        <v>5200</v>
      </c>
      <c r="H13" s="54">
        <v>0</v>
      </c>
      <c r="I13" s="54">
        <f t="shared" ref="I13:I36" si="3">E13-G13-H13</f>
        <v>2270</v>
      </c>
      <c r="J13" s="58">
        <v>46323</v>
      </c>
      <c r="K13" s="58" t="s">
        <v>52</v>
      </c>
      <c r="L13" s="59" t="s">
        <v>198</v>
      </c>
      <c r="M13" s="50" t="s">
        <v>35</v>
      </c>
      <c r="N13" s="54" t="s">
        <v>199</v>
      </c>
      <c r="O13" s="54" t="s">
        <v>131</v>
      </c>
    </row>
    <row r="14" spans="1:15" s="60" customFormat="1" ht="52.8" x14ac:dyDescent="0.3">
      <c r="A14" s="50" t="s">
        <v>142</v>
      </c>
      <c r="B14" s="51" t="s">
        <v>15</v>
      </c>
      <c r="C14" s="52">
        <v>799</v>
      </c>
      <c r="D14" s="53">
        <v>15</v>
      </c>
      <c r="E14" s="53">
        <f t="shared" si="2"/>
        <v>11985</v>
      </c>
      <c r="F14" s="54" t="s">
        <v>26</v>
      </c>
      <c r="G14" s="54">
        <v>8200</v>
      </c>
      <c r="H14" s="54">
        <v>0</v>
      </c>
      <c r="I14" s="54">
        <f t="shared" si="3"/>
        <v>3785</v>
      </c>
      <c r="J14" s="58">
        <v>46323</v>
      </c>
      <c r="K14" s="58" t="s">
        <v>52</v>
      </c>
      <c r="L14" s="59" t="s">
        <v>36</v>
      </c>
      <c r="M14" s="50" t="s">
        <v>35</v>
      </c>
      <c r="N14" s="54" t="s">
        <v>199</v>
      </c>
      <c r="O14" s="54" t="s">
        <v>131</v>
      </c>
    </row>
    <row r="15" spans="1:15" s="60" customFormat="1" ht="39" customHeight="1" x14ac:dyDescent="0.3">
      <c r="A15" s="50" t="s">
        <v>142</v>
      </c>
      <c r="B15" s="61" t="s">
        <v>146</v>
      </c>
      <c r="C15" s="53">
        <v>49</v>
      </c>
      <c r="D15" s="53">
        <v>600</v>
      </c>
      <c r="E15" s="53">
        <f t="shared" si="2"/>
        <v>29400</v>
      </c>
      <c r="F15" s="53">
        <v>0</v>
      </c>
      <c r="G15" s="53">
        <v>0</v>
      </c>
      <c r="H15" s="53">
        <v>0</v>
      </c>
      <c r="I15" s="54">
        <f t="shared" si="3"/>
        <v>29400</v>
      </c>
      <c r="J15" s="55">
        <v>46323</v>
      </c>
      <c r="K15" s="52" t="s">
        <v>52</v>
      </c>
      <c r="L15" s="53" t="s">
        <v>147</v>
      </c>
      <c r="M15" s="53" t="s">
        <v>35</v>
      </c>
      <c r="N15" s="52" t="s">
        <v>185</v>
      </c>
      <c r="O15" s="52" t="s">
        <v>148</v>
      </c>
    </row>
    <row r="16" spans="1:15" s="60" customFormat="1" ht="79.2" x14ac:dyDescent="0.3">
      <c r="A16" s="59" t="s">
        <v>60</v>
      </c>
      <c r="B16" s="59" t="s">
        <v>87</v>
      </c>
      <c r="C16" s="54">
        <v>799</v>
      </c>
      <c r="D16" s="56">
        <v>45</v>
      </c>
      <c r="E16" s="56">
        <f t="shared" si="2"/>
        <v>35955</v>
      </c>
      <c r="F16" s="54" t="s">
        <v>139</v>
      </c>
      <c r="G16" s="54">
        <v>6400</v>
      </c>
      <c r="H16" s="54">
        <v>0</v>
      </c>
      <c r="I16" s="54">
        <f t="shared" si="3"/>
        <v>29555</v>
      </c>
      <c r="J16" s="58">
        <v>46323</v>
      </c>
      <c r="K16" s="54" t="s">
        <v>52</v>
      </c>
      <c r="L16" s="56" t="s">
        <v>188</v>
      </c>
      <c r="M16" s="53" t="s">
        <v>35</v>
      </c>
      <c r="N16" s="54" t="s">
        <v>201</v>
      </c>
      <c r="O16" s="54"/>
    </row>
    <row r="17" spans="1:15" s="60" customFormat="1" ht="37.200000000000003" customHeight="1" x14ac:dyDescent="0.3">
      <c r="A17" s="50" t="s">
        <v>142</v>
      </c>
      <c r="B17" s="65" t="s">
        <v>20</v>
      </c>
      <c r="C17" s="52">
        <v>999</v>
      </c>
      <c r="D17" s="53">
        <v>10</v>
      </c>
      <c r="E17" s="53">
        <f t="shared" si="2"/>
        <v>9990</v>
      </c>
      <c r="F17" s="54" t="s">
        <v>27</v>
      </c>
      <c r="G17" s="52">
        <v>3100</v>
      </c>
      <c r="H17" s="52">
        <v>0</v>
      </c>
      <c r="I17" s="54">
        <f t="shared" si="3"/>
        <v>6890</v>
      </c>
      <c r="J17" s="55">
        <v>46323</v>
      </c>
      <c r="K17" s="52" t="s">
        <v>52</v>
      </c>
      <c r="L17" s="56" t="s">
        <v>40</v>
      </c>
      <c r="M17" s="53" t="s">
        <v>41</v>
      </c>
      <c r="N17" s="52" t="s">
        <v>205</v>
      </c>
      <c r="O17" s="52" t="s">
        <v>212</v>
      </c>
    </row>
    <row r="18" spans="1:15" s="60" customFormat="1" ht="52.8" x14ac:dyDescent="0.3">
      <c r="A18" s="50" t="s">
        <v>61</v>
      </c>
      <c r="B18" s="65" t="s">
        <v>82</v>
      </c>
      <c r="C18" s="52">
        <v>199</v>
      </c>
      <c r="D18" s="53">
        <v>25</v>
      </c>
      <c r="E18" s="53">
        <f t="shared" si="2"/>
        <v>4975</v>
      </c>
      <c r="F18" s="52" t="s">
        <v>81</v>
      </c>
      <c r="G18" s="52">
        <v>3500</v>
      </c>
      <c r="H18" s="52">
        <v>0</v>
      </c>
      <c r="I18" s="54">
        <f t="shared" si="3"/>
        <v>1475</v>
      </c>
      <c r="J18" s="66">
        <v>46323</v>
      </c>
      <c r="K18" s="52" t="s">
        <v>52</v>
      </c>
      <c r="L18" s="56" t="s">
        <v>149</v>
      </c>
      <c r="M18" s="53" t="s">
        <v>83</v>
      </c>
      <c r="N18" s="52" t="s">
        <v>192</v>
      </c>
      <c r="O18" s="52" t="s">
        <v>193</v>
      </c>
    </row>
    <row r="19" spans="1:15" s="60" customFormat="1" ht="26.4" x14ac:dyDescent="0.3">
      <c r="A19" s="50" t="s">
        <v>57</v>
      </c>
      <c r="B19" s="51" t="s">
        <v>55</v>
      </c>
      <c r="C19" s="52">
        <v>99</v>
      </c>
      <c r="D19" s="53">
        <v>20</v>
      </c>
      <c r="E19" s="53">
        <f t="shared" si="2"/>
        <v>1980</v>
      </c>
      <c r="F19" s="54" t="s">
        <v>183</v>
      </c>
      <c r="G19" s="52">
        <v>1700</v>
      </c>
      <c r="H19" s="52">
        <v>0</v>
      </c>
      <c r="I19" s="54">
        <f t="shared" si="3"/>
        <v>280</v>
      </c>
      <c r="J19" s="55">
        <v>46323</v>
      </c>
      <c r="K19" s="55" t="s">
        <v>52</v>
      </c>
      <c r="L19" s="56" t="s">
        <v>47</v>
      </c>
      <c r="M19" s="53" t="s">
        <v>154</v>
      </c>
      <c r="N19" s="52" t="s">
        <v>189</v>
      </c>
      <c r="O19" s="52" t="s">
        <v>190</v>
      </c>
    </row>
    <row r="20" spans="1:15" s="60" customFormat="1" ht="26.4" x14ac:dyDescent="0.3">
      <c r="A20" s="50"/>
      <c r="B20" s="51" t="s">
        <v>56</v>
      </c>
      <c r="C20" s="52">
        <v>199</v>
      </c>
      <c r="D20" s="53">
        <v>30</v>
      </c>
      <c r="E20" s="53">
        <f t="shared" si="2"/>
        <v>5970</v>
      </c>
      <c r="F20" s="54" t="s">
        <v>62</v>
      </c>
      <c r="G20" s="52">
        <v>3600</v>
      </c>
      <c r="H20" s="52">
        <v>0</v>
      </c>
      <c r="I20" s="54">
        <f t="shared" si="3"/>
        <v>2370</v>
      </c>
      <c r="J20" s="55">
        <v>46323</v>
      </c>
      <c r="K20" s="55" t="s">
        <v>52</v>
      </c>
      <c r="L20" s="56" t="s">
        <v>47</v>
      </c>
      <c r="M20" s="53" t="s">
        <v>154</v>
      </c>
      <c r="N20" s="52" t="s">
        <v>206</v>
      </c>
      <c r="O20" s="52" t="s">
        <v>208</v>
      </c>
    </row>
    <row r="21" spans="1:15" s="60" customFormat="1" ht="105.6" x14ac:dyDescent="0.3">
      <c r="A21" s="50"/>
      <c r="B21" s="65" t="s">
        <v>78</v>
      </c>
      <c r="C21" s="52">
        <v>249</v>
      </c>
      <c r="D21" s="53">
        <v>20</v>
      </c>
      <c r="E21" s="53">
        <f t="shared" si="2"/>
        <v>4980</v>
      </c>
      <c r="F21" s="54" t="s">
        <v>29</v>
      </c>
      <c r="G21" s="52">
        <v>3200</v>
      </c>
      <c r="H21" s="52">
        <v>0</v>
      </c>
      <c r="I21" s="54">
        <f t="shared" si="3"/>
        <v>1780</v>
      </c>
      <c r="J21" s="55">
        <v>46323</v>
      </c>
      <c r="K21" s="55" t="s">
        <v>52</v>
      </c>
      <c r="L21" s="56" t="s">
        <v>47</v>
      </c>
      <c r="M21" s="53" t="s">
        <v>48</v>
      </c>
      <c r="N21" s="52" t="s">
        <v>209</v>
      </c>
      <c r="O21" s="52" t="s">
        <v>210</v>
      </c>
    </row>
    <row r="22" spans="1:15" s="60" customFormat="1" ht="26.4" x14ac:dyDescent="0.3">
      <c r="A22" s="50" t="s">
        <v>92</v>
      </c>
      <c r="B22" s="65" t="s">
        <v>106</v>
      </c>
      <c r="C22" s="52">
        <v>149</v>
      </c>
      <c r="D22" s="53">
        <v>30</v>
      </c>
      <c r="E22" s="53">
        <f t="shared" si="2"/>
        <v>4470</v>
      </c>
      <c r="F22" s="52" t="s">
        <v>29</v>
      </c>
      <c r="G22" s="52">
        <v>3200</v>
      </c>
      <c r="H22" s="52">
        <v>0</v>
      </c>
      <c r="I22" s="54">
        <f t="shared" si="3"/>
        <v>1270</v>
      </c>
      <c r="J22" s="55">
        <v>46323</v>
      </c>
      <c r="K22" s="52" t="s">
        <v>52</v>
      </c>
      <c r="L22" s="56" t="s">
        <v>107</v>
      </c>
      <c r="M22" s="54" t="s">
        <v>108</v>
      </c>
      <c r="N22" s="54" t="s">
        <v>121</v>
      </c>
      <c r="O22" s="67" t="s">
        <v>129</v>
      </c>
    </row>
    <row r="23" spans="1:15" s="60" customFormat="1" ht="26.4" customHeight="1" x14ac:dyDescent="0.3">
      <c r="A23" s="50"/>
      <c r="B23" s="51" t="s">
        <v>16</v>
      </c>
      <c r="C23" s="52">
        <v>249</v>
      </c>
      <c r="D23" s="53">
        <v>30</v>
      </c>
      <c r="E23" s="53">
        <f t="shared" si="2"/>
        <v>7470</v>
      </c>
      <c r="F23" s="54" t="s">
        <v>25</v>
      </c>
      <c r="G23" s="54">
        <v>5200</v>
      </c>
      <c r="H23" s="54">
        <v>0</v>
      </c>
      <c r="I23" s="54">
        <f t="shared" si="3"/>
        <v>2270</v>
      </c>
      <c r="J23" s="58">
        <v>46324</v>
      </c>
      <c r="K23" s="52" t="s">
        <v>34</v>
      </c>
      <c r="L23" s="56" t="s">
        <v>137</v>
      </c>
      <c r="M23" s="50" t="s">
        <v>35</v>
      </c>
      <c r="N23" s="54" t="s">
        <v>204</v>
      </c>
      <c r="O23" s="62" t="s">
        <v>211</v>
      </c>
    </row>
    <row r="24" spans="1:15" s="60" customFormat="1" ht="52.8" x14ac:dyDescent="0.3">
      <c r="A24" s="50" t="s">
        <v>59</v>
      </c>
      <c r="B24" s="65" t="s">
        <v>17</v>
      </c>
      <c r="C24" s="52">
        <v>2499</v>
      </c>
      <c r="D24" s="53">
        <v>6</v>
      </c>
      <c r="E24" s="53">
        <f t="shared" si="2"/>
        <v>14994</v>
      </c>
      <c r="F24" s="52" t="s">
        <v>100</v>
      </c>
      <c r="G24" s="54">
        <v>11000</v>
      </c>
      <c r="H24" s="54">
        <v>0</v>
      </c>
      <c r="I24" s="54">
        <f t="shared" si="3"/>
        <v>3994</v>
      </c>
      <c r="J24" s="55">
        <v>46324</v>
      </c>
      <c r="K24" s="52" t="s">
        <v>34</v>
      </c>
      <c r="L24" s="56" t="s">
        <v>138</v>
      </c>
      <c r="M24" s="53" t="s">
        <v>35</v>
      </c>
      <c r="N24" s="54" t="s">
        <v>200</v>
      </c>
      <c r="O24" s="54" t="s">
        <v>54</v>
      </c>
    </row>
    <row r="25" spans="1:15" ht="79.2" x14ac:dyDescent="0.3">
      <c r="A25" s="44" t="s">
        <v>60</v>
      </c>
      <c r="B25" s="44" t="s">
        <v>86</v>
      </c>
      <c r="C25" s="41">
        <v>2499</v>
      </c>
      <c r="D25" s="42">
        <v>18</v>
      </c>
      <c r="E25" s="42">
        <f t="shared" si="2"/>
        <v>44982</v>
      </c>
      <c r="F25" s="41" t="s">
        <v>26</v>
      </c>
      <c r="G25" s="41">
        <v>8200</v>
      </c>
      <c r="H25" s="41">
        <v>0</v>
      </c>
      <c r="I25" s="41">
        <f t="shared" si="3"/>
        <v>36782</v>
      </c>
      <c r="J25" s="43">
        <v>46324</v>
      </c>
      <c r="K25" s="41" t="s">
        <v>34</v>
      </c>
      <c r="L25" s="46" t="s">
        <v>140</v>
      </c>
      <c r="M25" s="46" t="s">
        <v>101</v>
      </c>
      <c r="N25" s="41" t="s">
        <v>201</v>
      </c>
      <c r="O25" s="41"/>
    </row>
    <row r="26" spans="1:15" ht="79.2" x14ac:dyDescent="0.3">
      <c r="A26" s="44" t="s">
        <v>60</v>
      </c>
      <c r="B26" s="38" t="s">
        <v>85</v>
      </c>
      <c r="C26" s="39">
        <v>4999</v>
      </c>
      <c r="D26" s="40">
        <v>10</v>
      </c>
      <c r="E26" s="40">
        <f t="shared" si="2"/>
        <v>49990</v>
      </c>
      <c r="F26" s="41" t="s">
        <v>100</v>
      </c>
      <c r="G26" s="39">
        <v>11000</v>
      </c>
      <c r="H26" s="39">
        <v>0</v>
      </c>
      <c r="I26" s="41">
        <f t="shared" si="3"/>
        <v>38990</v>
      </c>
      <c r="J26" s="43">
        <v>46324</v>
      </c>
      <c r="K26" s="41" t="s">
        <v>34</v>
      </c>
      <c r="L26" s="46" t="s">
        <v>140</v>
      </c>
      <c r="M26" s="46" t="s">
        <v>101</v>
      </c>
      <c r="N26" s="41" t="s">
        <v>201</v>
      </c>
      <c r="O26" s="39"/>
    </row>
    <row r="27" spans="1:15" s="60" customFormat="1" ht="79.2" x14ac:dyDescent="0.3">
      <c r="A27" s="50" t="s">
        <v>61</v>
      </c>
      <c r="B27" s="65" t="s">
        <v>18</v>
      </c>
      <c r="C27" s="52">
        <v>499</v>
      </c>
      <c r="D27" s="53">
        <v>30</v>
      </c>
      <c r="E27" s="53">
        <f t="shared" si="2"/>
        <v>14970</v>
      </c>
      <c r="F27" s="52" t="s">
        <v>80</v>
      </c>
      <c r="G27" s="52">
        <v>3100</v>
      </c>
      <c r="H27" s="52">
        <v>0</v>
      </c>
      <c r="I27" s="54">
        <f t="shared" si="3"/>
        <v>11870</v>
      </c>
      <c r="J27" s="66">
        <v>46324</v>
      </c>
      <c r="K27" s="52" t="s">
        <v>34</v>
      </c>
      <c r="L27" s="56" t="s">
        <v>46</v>
      </c>
      <c r="M27" s="53" t="s">
        <v>39</v>
      </c>
      <c r="N27" s="52" t="s">
        <v>191</v>
      </c>
      <c r="O27" s="52" t="s">
        <v>213</v>
      </c>
    </row>
    <row r="28" spans="1:15" s="60" customFormat="1" ht="105.6" x14ac:dyDescent="0.3">
      <c r="A28" s="50" t="s">
        <v>76</v>
      </c>
      <c r="B28" s="65" t="s">
        <v>77</v>
      </c>
      <c r="C28" s="52">
        <v>249</v>
      </c>
      <c r="D28" s="53">
        <v>40</v>
      </c>
      <c r="E28" s="53">
        <f t="shared" si="2"/>
        <v>9960</v>
      </c>
      <c r="F28" s="54" t="s">
        <v>29</v>
      </c>
      <c r="G28" s="52">
        <v>3200</v>
      </c>
      <c r="H28" s="52">
        <v>0</v>
      </c>
      <c r="I28" s="54">
        <f t="shared" si="3"/>
        <v>6760</v>
      </c>
      <c r="J28" s="55">
        <v>46324</v>
      </c>
      <c r="K28" s="52" t="s">
        <v>34</v>
      </c>
      <c r="L28" s="56" t="s">
        <v>47</v>
      </c>
      <c r="M28" s="53" t="s">
        <v>48</v>
      </c>
      <c r="N28" s="52" t="s">
        <v>209</v>
      </c>
      <c r="O28" s="52" t="s">
        <v>210</v>
      </c>
    </row>
    <row r="29" spans="1:15" s="60" customFormat="1" ht="26.4" x14ac:dyDescent="0.3">
      <c r="A29" s="50" t="s">
        <v>93</v>
      </c>
      <c r="B29" s="65" t="s">
        <v>79</v>
      </c>
      <c r="C29" s="52">
        <v>149</v>
      </c>
      <c r="D29" s="53">
        <v>30</v>
      </c>
      <c r="E29" s="53">
        <f t="shared" si="2"/>
        <v>4470</v>
      </c>
      <c r="F29" s="52" t="s">
        <v>29</v>
      </c>
      <c r="G29" s="52">
        <v>3200</v>
      </c>
      <c r="H29" s="52">
        <v>0</v>
      </c>
      <c r="I29" s="54">
        <f t="shared" si="3"/>
        <v>1270</v>
      </c>
      <c r="J29" s="55">
        <v>46324</v>
      </c>
      <c r="K29" s="52" t="s">
        <v>34</v>
      </c>
      <c r="L29" s="56" t="s">
        <v>107</v>
      </c>
      <c r="M29" s="54" t="s">
        <v>108</v>
      </c>
      <c r="N29" s="54" t="s">
        <v>122</v>
      </c>
      <c r="O29" s="54" t="s">
        <v>127</v>
      </c>
    </row>
    <row r="30" spans="1:15" s="60" customFormat="1" ht="26.4" x14ac:dyDescent="0.3">
      <c r="A30" s="50" t="s">
        <v>91</v>
      </c>
      <c r="B30" s="65" t="s">
        <v>88</v>
      </c>
      <c r="C30" s="52">
        <v>149</v>
      </c>
      <c r="D30" s="53">
        <v>30</v>
      </c>
      <c r="E30" s="53">
        <f t="shared" si="2"/>
        <v>4470</v>
      </c>
      <c r="F30" s="52" t="s">
        <v>29</v>
      </c>
      <c r="G30" s="52">
        <v>3200</v>
      </c>
      <c r="H30" s="52">
        <v>0</v>
      </c>
      <c r="I30" s="54">
        <f t="shared" si="3"/>
        <v>1270</v>
      </c>
      <c r="J30" s="55">
        <v>46324</v>
      </c>
      <c r="K30" s="52" t="s">
        <v>34</v>
      </c>
      <c r="L30" s="56" t="s">
        <v>107</v>
      </c>
      <c r="M30" s="54" t="s">
        <v>115</v>
      </c>
      <c r="N30" s="54" t="s">
        <v>130</v>
      </c>
      <c r="O30" s="54" t="s">
        <v>112</v>
      </c>
    </row>
    <row r="31" spans="1:15" s="60" customFormat="1" ht="29.4" customHeight="1" x14ac:dyDescent="0.3">
      <c r="A31" s="50" t="s">
        <v>116</v>
      </c>
      <c r="B31" s="65" t="s">
        <v>117</v>
      </c>
      <c r="C31" s="52">
        <v>149</v>
      </c>
      <c r="D31" s="53">
        <v>30</v>
      </c>
      <c r="E31" s="53">
        <f t="shared" si="2"/>
        <v>4470</v>
      </c>
      <c r="F31" s="52" t="s">
        <v>29</v>
      </c>
      <c r="G31" s="52">
        <v>3200</v>
      </c>
      <c r="H31" s="52">
        <v>0</v>
      </c>
      <c r="I31" s="54">
        <f t="shared" si="3"/>
        <v>1270</v>
      </c>
      <c r="J31" s="55">
        <v>46324</v>
      </c>
      <c r="K31" s="52" t="s">
        <v>34</v>
      </c>
      <c r="L31" s="56" t="s">
        <v>107</v>
      </c>
      <c r="M31" s="54" t="s">
        <v>118</v>
      </c>
      <c r="N31" s="54" t="s">
        <v>124</v>
      </c>
      <c r="O31" s="54" t="s">
        <v>125</v>
      </c>
    </row>
    <row r="32" spans="1:15" s="60" customFormat="1" ht="26.4" x14ac:dyDescent="0.3">
      <c r="A32" s="50" t="s">
        <v>150</v>
      </c>
      <c r="B32" s="65" t="s">
        <v>19</v>
      </c>
      <c r="C32" s="52">
        <v>249</v>
      </c>
      <c r="D32" s="53">
        <v>20</v>
      </c>
      <c r="E32" s="53">
        <f t="shared" si="2"/>
        <v>4980</v>
      </c>
      <c r="F32" s="54">
        <v>0</v>
      </c>
      <c r="G32" s="52">
        <v>3200</v>
      </c>
      <c r="H32" s="52">
        <v>0</v>
      </c>
      <c r="I32" s="54">
        <f t="shared" si="3"/>
        <v>1780</v>
      </c>
      <c r="J32" s="55">
        <v>46325</v>
      </c>
      <c r="K32" s="52" t="s">
        <v>37</v>
      </c>
      <c r="L32" s="56" t="s">
        <v>207</v>
      </c>
      <c r="M32" s="53" t="s">
        <v>35</v>
      </c>
      <c r="N32" s="52" t="s">
        <v>151</v>
      </c>
      <c r="O32" s="52" t="s">
        <v>153</v>
      </c>
    </row>
    <row r="33" spans="1:15" s="60" customFormat="1" ht="26.4" x14ac:dyDescent="0.3">
      <c r="A33" s="50" t="s">
        <v>141</v>
      </c>
      <c r="B33" s="61" t="s">
        <v>145</v>
      </c>
      <c r="C33" s="53">
        <v>49</v>
      </c>
      <c r="D33" s="53">
        <v>600</v>
      </c>
      <c r="E33" s="53">
        <f t="shared" si="2"/>
        <v>29400</v>
      </c>
      <c r="F33" s="53">
        <v>0</v>
      </c>
      <c r="G33" s="53">
        <v>0</v>
      </c>
      <c r="H33" s="53">
        <v>0</v>
      </c>
      <c r="I33" s="54">
        <f t="shared" si="3"/>
        <v>29400</v>
      </c>
      <c r="J33" s="55">
        <v>46325</v>
      </c>
      <c r="K33" s="52" t="s">
        <v>37</v>
      </c>
      <c r="L33" s="53" t="s">
        <v>214</v>
      </c>
      <c r="M33" s="53" t="s">
        <v>35</v>
      </c>
      <c r="N33" s="52" t="s">
        <v>185</v>
      </c>
      <c r="O33" s="52" t="s">
        <v>148</v>
      </c>
    </row>
    <row r="34" spans="1:15" s="60" customFormat="1" ht="52.8" x14ac:dyDescent="0.3">
      <c r="A34" s="50" t="s">
        <v>63</v>
      </c>
      <c r="B34" s="65" t="s">
        <v>21</v>
      </c>
      <c r="C34" s="52">
        <v>249</v>
      </c>
      <c r="D34" s="53">
        <v>30</v>
      </c>
      <c r="E34" s="53">
        <f t="shared" si="2"/>
        <v>7470</v>
      </c>
      <c r="F34" s="54" t="s">
        <v>152</v>
      </c>
      <c r="G34" s="52">
        <v>3200</v>
      </c>
      <c r="H34" s="52">
        <v>0</v>
      </c>
      <c r="I34" s="54">
        <f t="shared" si="3"/>
        <v>4270</v>
      </c>
      <c r="J34" s="55">
        <v>46325</v>
      </c>
      <c r="K34" s="52" t="s">
        <v>37</v>
      </c>
      <c r="L34" s="56" t="s">
        <v>42</v>
      </c>
      <c r="M34" s="53" t="s">
        <v>43</v>
      </c>
      <c r="N34" s="52" t="s">
        <v>186</v>
      </c>
      <c r="O34" s="52" t="s">
        <v>187</v>
      </c>
    </row>
    <row r="35" spans="1:15" s="60" customFormat="1" ht="26.4" customHeight="1" x14ac:dyDescent="0.3">
      <c r="A35" s="50" t="s">
        <v>94</v>
      </c>
      <c r="B35" s="65" t="s">
        <v>89</v>
      </c>
      <c r="C35" s="52">
        <v>149</v>
      </c>
      <c r="D35" s="53">
        <v>30</v>
      </c>
      <c r="E35" s="53">
        <f t="shared" si="2"/>
        <v>4470</v>
      </c>
      <c r="F35" s="52" t="s">
        <v>29</v>
      </c>
      <c r="G35" s="52">
        <v>3200</v>
      </c>
      <c r="H35" s="52">
        <v>0</v>
      </c>
      <c r="I35" s="54">
        <f t="shared" si="3"/>
        <v>1270</v>
      </c>
      <c r="J35" s="55">
        <v>46325</v>
      </c>
      <c r="K35" s="52" t="s">
        <v>37</v>
      </c>
      <c r="L35" s="56" t="s">
        <v>107</v>
      </c>
      <c r="M35" s="54" t="s">
        <v>113</v>
      </c>
      <c r="N35" s="54" t="s">
        <v>126</v>
      </c>
      <c r="O35" s="54" t="s">
        <v>132</v>
      </c>
    </row>
    <row r="36" spans="1:15" s="60" customFormat="1" ht="39.6" x14ac:dyDescent="0.3">
      <c r="A36" s="50" t="s">
        <v>90</v>
      </c>
      <c r="B36" s="65" t="s">
        <v>99</v>
      </c>
      <c r="C36" s="52">
        <v>149</v>
      </c>
      <c r="D36" s="53">
        <v>30</v>
      </c>
      <c r="E36" s="53">
        <f t="shared" si="2"/>
        <v>4470</v>
      </c>
      <c r="F36" s="52" t="s">
        <v>29</v>
      </c>
      <c r="G36" s="52">
        <v>3200</v>
      </c>
      <c r="H36" s="52">
        <v>0</v>
      </c>
      <c r="I36" s="54">
        <f t="shared" si="3"/>
        <v>1270</v>
      </c>
      <c r="J36" s="55">
        <v>46325</v>
      </c>
      <c r="K36" s="52" t="s">
        <v>37</v>
      </c>
      <c r="L36" s="56" t="s">
        <v>107</v>
      </c>
      <c r="M36" s="54" t="s">
        <v>114</v>
      </c>
      <c r="N36" s="54" t="s">
        <v>123</v>
      </c>
      <c r="O36" s="54" t="s">
        <v>119</v>
      </c>
    </row>
    <row r="37" spans="1:15" s="60" customFormat="1" ht="39.6" x14ac:dyDescent="0.3">
      <c r="A37" s="50"/>
      <c r="B37" s="65" t="s">
        <v>215</v>
      </c>
      <c r="C37" s="52"/>
      <c r="D37" s="53"/>
      <c r="E37" s="53"/>
      <c r="F37" s="52"/>
      <c r="G37" s="52"/>
      <c r="H37" s="52"/>
      <c r="I37" s="54"/>
      <c r="J37" s="55">
        <v>46325</v>
      </c>
      <c r="K37" s="52" t="s">
        <v>37</v>
      </c>
      <c r="L37" s="56" t="s">
        <v>216</v>
      </c>
      <c r="M37" s="54" t="s">
        <v>35</v>
      </c>
      <c r="N37" s="54" t="s">
        <v>217</v>
      </c>
      <c r="O37" s="54"/>
    </row>
    <row r="38" spans="1:15" s="60" customFormat="1" ht="52.8" x14ac:dyDescent="0.3">
      <c r="A38" s="50" t="s">
        <v>98</v>
      </c>
      <c r="B38" s="61" t="s">
        <v>67</v>
      </c>
      <c r="C38" s="52">
        <v>700</v>
      </c>
      <c r="D38" s="53">
        <v>16</v>
      </c>
      <c r="E38" s="53">
        <f t="shared" ref="E38:E45" si="4">C38*D38</f>
        <v>11200</v>
      </c>
      <c r="F38" s="54" t="s">
        <v>66</v>
      </c>
      <c r="G38" s="52">
        <v>6000</v>
      </c>
      <c r="H38" s="52">
        <v>2000</v>
      </c>
      <c r="I38" s="54">
        <f t="shared" ref="I38:I45" si="5">E38-G38-H38</f>
        <v>3200</v>
      </c>
      <c r="J38" s="55" t="s">
        <v>168</v>
      </c>
      <c r="K38" s="55" t="s">
        <v>169</v>
      </c>
      <c r="L38" s="53" t="s">
        <v>74</v>
      </c>
      <c r="M38" s="52" t="s">
        <v>38</v>
      </c>
      <c r="N38" s="62" t="s">
        <v>157</v>
      </c>
      <c r="O38" s="62" t="s">
        <v>170</v>
      </c>
    </row>
    <row r="39" spans="1:15" s="60" customFormat="1" ht="52.8" x14ac:dyDescent="0.3">
      <c r="A39" s="50" t="s">
        <v>98</v>
      </c>
      <c r="B39" s="61" t="s">
        <v>49</v>
      </c>
      <c r="C39" s="52">
        <v>300</v>
      </c>
      <c r="D39" s="53">
        <v>40</v>
      </c>
      <c r="E39" s="53">
        <f t="shared" si="4"/>
        <v>12000</v>
      </c>
      <c r="F39" s="54" t="s">
        <v>65</v>
      </c>
      <c r="G39" s="52">
        <v>4500</v>
      </c>
      <c r="H39" s="52">
        <v>3500</v>
      </c>
      <c r="I39" s="54">
        <f t="shared" si="5"/>
        <v>4000</v>
      </c>
      <c r="J39" s="68" t="s">
        <v>165</v>
      </c>
      <c r="K39" s="68" t="s">
        <v>166</v>
      </c>
      <c r="L39" s="69" t="s">
        <v>74</v>
      </c>
      <c r="M39" s="50" t="s">
        <v>73</v>
      </c>
      <c r="N39" s="62" t="s">
        <v>157</v>
      </c>
      <c r="O39" s="62" t="s">
        <v>167</v>
      </c>
    </row>
    <row r="40" spans="1:15" s="60" customFormat="1" ht="52.8" x14ac:dyDescent="0.3">
      <c r="A40" s="50" t="s">
        <v>98</v>
      </c>
      <c r="B40" s="61" t="s">
        <v>50</v>
      </c>
      <c r="C40" s="52">
        <v>400</v>
      </c>
      <c r="D40" s="53">
        <v>20</v>
      </c>
      <c r="E40" s="53">
        <f t="shared" si="4"/>
        <v>8000</v>
      </c>
      <c r="F40" s="54" t="s">
        <v>163</v>
      </c>
      <c r="G40" s="52">
        <v>3700</v>
      </c>
      <c r="H40" s="52">
        <v>3500</v>
      </c>
      <c r="I40" s="54">
        <f t="shared" si="5"/>
        <v>800</v>
      </c>
      <c r="J40" s="68" t="s">
        <v>194</v>
      </c>
      <c r="K40" s="68" t="s">
        <v>166</v>
      </c>
      <c r="L40" s="69" t="s">
        <v>74</v>
      </c>
      <c r="M40" s="50" t="s">
        <v>73</v>
      </c>
      <c r="N40" s="62" t="s">
        <v>157</v>
      </c>
      <c r="O40" s="62" t="s">
        <v>167</v>
      </c>
    </row>
    <row r="41" spans="1:15" s="60" customFormat="1" ht="52.8" x14ac:dyDescent="0.3">
      <c r="A41" s="50" t="s">
        <v>98</v>
      </c>
      <c r="B41" s="61" t="s">
        <v>51</v>
      </c>
      <c r="C41" s="52">
        <v>200</v>
      </c>
      <c r="D41" s="53">
        <v>20</v>
      </c>
      <c r="E41" s="53">
        <f t="shared" si="4"/>
        <v>4000</v>
      </c>
      <c r="F41" s="54" t="s">
        <v>164</v>
      </c>
      <c r="G41" s="52">
        <v>3200</v>
      </c>
      <c r="H41" s="52">
        <v>500</v>
      </c>
      <c r="I41" s="54">
        <f t="shared" si="5"/>
        <v>300</v>
      </c>
      <c r="J41" s="68" t="s">
        <v>195</v>
      </c>
      <c r="K41" s="68" t="s">
        <v>166</v>
      </c>
      <c r="L41" s="69" t="s">
        <v>74</v>
      </c>
      <c r="M41" s="50" t="s">
        <v>73</v>
      </c>
      <c r="N41" s="62" t="s">
        <v>157</v>
      </c>
      <c r="O41" s="62" t="s">
        <v>167</v>
      </c>
    </row>
    <row r="42" spans="1:15" s="60" customFormat="1" ht="52.8" x14ac:dyDescent="0.3">
      <c r="A42" s="50" t="s">
        <v>98</v>
      </c>
      <c r="B42" s="61" t="s">
        <v>158</v>
      </c>
      <c r="C42" s="52">
        <v>700</v>
      </c>
      <c r="D42" s="53">
        <v>24</v>
      </c>
      <c r="E42" s="53">
        <f t="shared" si="4"/>
        <v>16800</v>
      </c>
      <c r="F42" s="54" t="s">
        <v>159</v>
      </c>
      <c r="G42" s="52">
        <v>10000</v>
      </c>
      <c r="H42" s="52">
        <v>5200</v>
      </c>
      <c r="I42" s="54">
        <f t="shared" si="5"/>
        <v>1600</v>
      </c>
      <c r="J42" s="55" t="s">
        <v>160</v>
      </c>
      <c r="K42" s="55" t="s">
        <v>161</v>
      </c>
      <c r="L42" s="53" t="s">
        <v>74</v>
      </c>
      <c r="M42" s="52" t="s">
        <v>72</v>
      </c>
      <c r="N42" s="62" t="s">
        <v>157</v>
      </c>
      <c r="O42" s="62" t="s">
        <v>162</v>
      </c>
    </row>
    <row r="43" spans="1:15" s="60" customFormat="1" ht="79.2" x14ac:dyDescent="0.3">
      <c r="A43" s="50" t="s">
        <v>98</v>
      </c>
      <c r="B43" s="61" t="s">
        <v>10</v>
      </c>
      <c r="C43" s="52">
        <v>700</v>
      </c>
      <c r="D43" s="52">
        <v>16</v>
      </c>
      <c r="E43" s="53">
        <f t="shared" si="4"/>
        <v>11200</v>
      </c>
      <c r="F43" s="54" t="s">
        <v>66</v>
      </c>
      <c r="G43" s="52">
        <v>6000</v>
      </c>
      <c r="H43" s="52">
        <v>2000</v>
      </c>
      <c r="I43" s="54">
        <f t="shared" si="5"/>
        <v>3200</v>
      </c>
      <c r="J43" s="55" t="s">
        <v>171</v>
      </c>
      <c r="K43" s="55" t="s">
        <v>161</v>
      </c>
      <c r="L43" s="53" t="s">
        <v>74</v>
      </c>
      <c r="M43" s="52" t="s">
        <v>72</v>
      </c>
      <c r="N43" s="62" t="s">
        <v>157</v>
      </c>
      <c r="O43" s="62" t="s">
        <v>172</v>
      </c>
    </row>
    <row r="44" spans="1:15" s="60" customFormat="1" ht="26.4" x14ac:dyDescent="0.3">
      <c r="A44" s="50" t="s">
        <v>143</v>
      </c>
      <c r="B44" s="61" t="s">
        <v>58</v>
      </c>
      <c r="C44" s="53">
        <v>149</v>
      </c>
      <c r="D44" s="53">
        <v>30</v>
      </c>
      <c r="E44" s="53">
        <f t="shared" si="4"/>
        <v>4470</v>
      </c>
      <c r="F44" s="52" t="s">
        <v>29</v>
      </c>
      <c r="G44" s="53">
        <v>3200</v>
      </c>
      <c r="H44" s="53">
        <v>0</v>
      </c>
      <c r="I44" s="54">
        <f t="shared" si="5"/>
        <v>1270</v>
      </c>
      <c r="J44" s="55" t="s">
        <v>202</v>
      </c>
      <c r="K44" s="52" t="s">
        <v>37</v>
      </c>
      <c r="L44" s="53" t="s">
        <v>44</v>
      </c>
      <c r="M44" s="53" t="s">
        <v>9</v>
      </c>
      <c r="N44" s="53" t="s">
        <v>84</v>
      </c>
      <c r="O44" s="53" t="s">
        <v>103</v>
      </c>
    </row>
    <row r="45" spans="1:15" s="60" customFormat="1" ht="39.6" x14ac:dyDescent="0.3">
      <c r="A45" s="50" t="s">
        <v>93</v>
      </c>
      <c r="B45" s="65" t="s">
        <v>105</v>
      </c>
      <c r="C45" s="52">
        <v>149</v>
      </c>
      <c r="D45" s="53">
        <v>30</v>
      </c>
      <c r="E45" s="53">
        <f t="shared" si="4"/>
        <v>4470</v>
      </c>
      <c r="F45" s="52" t="s">
        <v>29</v>
      </c>
      <c r="G45" s="52">
        <v>3200</v>
      </c>
      <c r="H45" s="52">
        <v>0</v>
      </c>
      <c r="I45" s="54">
        <f t="shared" si="5"/>
        <v>1270</v>
      </c>
      <c r="J45" s="52" t="s">
        <v>109</v>
      </c>
      <c r="K45" s="52" t="s">
        <v>110</v>
      </c>
      <c r="L45" s="56" t="s">
        <v>107</v>
      </c>
      <c r="M45" s="54" t="s">
        <v>111</v>
      </c>
      <c r="N45" s="54" t="s">
        <v>120</v>
      </c>
      <c r="O45" s="54" t="s">
        <v>128</v>
      </c>
    </row>
    <row r="48" spans="1:15" x14ac:dyDescent="0.3">
      <c r="A48" s="45"/>
      <c r="B48" s="47"/>
      <c r="J48" s="45"/>
      <c r="K48" s="45"/>
    </row>
    <row r="49" spans="2:2" s="45" customFormat="1" x14ac:dyDescent="0.3">
      <c r="B49" s="47"/>
    </row>
  </sheetData>
  <sortState xmlns:xlrd2="http://schemas.microsoft.com/office/spreadsheetml/2017/richdata2" ref="A2:O45">
    <sortCondition ref="J2:J45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OCT 2026 </vt:lpstr>
      <vt:lpstr>Sheet1</vt:lpstr>
      <vt:lpstr>'OCT 2026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Aksaar Patel</cp:lastModifiedBy>
  <cp:lastPrinted>2026-09-17T08:34:20Z</cp:lastPrinted>
  <dcterms:created xsi:type="dcterms:W3CDTF">2024-04-03T18:53:28Z</dcterms:created>
  <dcterms:modified xsi:type="dcterms:W3CDTF">2026-09-17T08:34:33Z</dcterms:modified>
</cp:coreProperties>
</file>